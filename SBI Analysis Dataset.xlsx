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ce6d3b09321534/Desktop/Project Work/"/>
    </mc:Choice>
  </mc:AlternateContent>
  <xr:revisionPtr revIDLastSave="372" documentId="8_{4BC88B86-9857-40CC-8EF2-F94B968212D9}" xr6:coauthVersionLast="47" xr6:coauthVersionMax="47" xr10:uidLastSave="{FE58A298-7EDB-48B0-A8DC-F27231E2B89D}"/>
  <bookViews>
    <workbookView xWindow="-103" yWindow="-103" windowWidth="24892" windowHeight="14092" firstSheet="7" activeTab="10" xr2:uid="{18C5777D-F1AF-4FAA-9616-CD185777402F}"/>
  </bookViews>
  <sheets>
    <sheet name="Customers" sheetId="2" r:id="rId1"/>
    <sheet name="Loans" sheetId="1" r:id="rId2"/>
    <sheet name="Portfolio Overview" sheetId="3" r:id="rId3"/>
    <sheet name="Portfolio Mix Loan Type" sheetId="5" r:id="rId4"/>
    <sheet name="NPA Rate by Loan Type" sheetId="6" r:id="rId5"/>
    <sheet name="NPA Summary" sheetId="4" r:id="rId6"/>
    <sheet name="Credit Score Band Analysis" sheetId="7" r:id="rId7"/>
    <sheet name=" City-wise Exposure" sheetId="8" r:id="rId8"/>
    <sheet name="Credit Risk Analysis" sheetId="9" r:id="rId9"/>
    <sheet name="Portfolio Status Distribution" sheetId="11" r:id="rId10"/>
    <sheet name="Dashboard" sheetId="10" r:id="rId11"/>
  </sheets>
  <definedNames>
    <definedName name="_xlchart.v2.0" hidden="1">' City-wise Exposure'!$B$7:$B$21</definedName>
    <definedName name="_xlchart.v2.1" hidden="1">' City-wise Exposure'!$D$6</definedName>
    <definedName name="_xlchart.v2.2" hidden="1">' City-wise Exposure'!$D$7:$D$21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7" l="1"/>
  <c r="E7" i="7" s="1"/>
  <c r="C7" i="7"/>
  <c r="D6" i="7"/>
  <c r="E6" i="7" s="1"/>
  <c r="C6" i="7"/>
  <c r="D5" i="7"/>
  <c r="E5" i="7" s="1"/>
  <c r="C5" i="7"/>
  <c r="D4" i="7"/>
  <c r="E4" i="7" s="1"/>
  <c r="C4" i="7"/>
  <c r="C4" i="4"/>
  <c r="C5" i="4"/>
  <c r="C6" i="4"/>
  <c r="C14" i="6"/>
  <c r="C13" i="6"/>
  <c r="C12" i="6"/>
  <c r="C11" i="6"/>
  <c r="C10" i="6"/>
  <c r="J8" i="10"/>
  <c r="R8" i="10"/>
  <c r="P8" i="10"/>
  <c r="N8" i="10"/>
  <c r="C8" i="3"/>
  <c r="D7" i="6"/>
  <c r="D6" i="6"/>
  <c r="D5" i="6"/>
  <c r="F8" i="10"/>
  <c r="D8" i="10"/>
  <c r="B8" i="10"/>
  <c r="G12" i="11"/>
  <c r="G13" i="11"/>
  <c r="G14" i="11"/>
  <c r="G15" i="11"/>
  <c r="G11" i="11"/>
  <c r="F15" i="11"/>
  <c r="F14" i="11"/>
  <c r="F13" i="11"/>
  <c r="F12" i="11"/>
  <c r="F11" i="11"/>
  <c r="E15" i="11"/>
  <c r="E14" i="11"/>
  <c r="E13" i="11"/>
  <c r="E12" i="11"/>
  <c r="E11" i="11"/>
  <c r="D15" i="11"/>
  <c r="D14" i="11"/>
  <c r="D13" i="11"/>
  <c r="D12" i="11"/>
  <c r="D11" i="11"/>
  <c r="C15" i="11"/>
  <c r="C14" i="11"/>
  <c r="C13" i="11"/>
  <c r="C12" i="11"/>
  <c r="C11" i="11"/>
  <c r="E5" i="11"/>
  <c r="E6" i="11"/>
  <c r="E4" i="11"/>
  <c r="D6" i="11"/>
  <c r="D5" i="11"/>
  <c r="D4" i="11"/>
  <c r="C6" i="11"/>
  <c r="C5" i="11"/>
  <c r="C4" i="11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7" i="9"/>
  <c r="L22" i="9"/>
  <c r="M22" i="9" s="1"/>
  <c r="K22" i="9"/>
  <c r="J22" i="9"/>
  <c r="I22" i="9"/>
  <c r="K21" i="9"/>
  <c r="J21" i="9"/>
  <c r="I21" i="9"/>
  <c r="L21" i="9" s="1"/>
  <c r="M21" i="9" s="1"/>
  <c r="K20" i="9"/>
  <c r="J20" i="9"/>
  <c r="I20" i="9"/>
  <c r="K19" i="9"/>
  <c r="J19" i="9"/>
  <c r="I19" i="9"/>
  <c r="L19" i="9" s="1"/>
  <c r="M19" i="9" s="1"/>
  <c r="K18" i="9"/>
  <c r="J18" i="9"/>
  <c r="I18" i="9"/>
  <c r="L18" i="9" s="1"/>
  <c r="M18" i="9" s="1"/>
  <c r="K17" i="9"/>
  <c r="J17" i="9"/>
  <c r="I17" i="9"/>
  <c r="L17" i="9" s="1"/>
  <c r="M17" i="9" s="1"/>
  <c r="K16" i="9"/>
  <c r="J16" i="9"/>
  <c r="I16" i="9"/>
  <c r="L16" i="9" s="1"/>
  <c r="M16" i="9" s="1"/>
  <c r="K15" i="9"/>
  <c r="K14" i="9"/>
  <c r="J15" i="9"/>
  <c r="J14" i="9"/>
  <c r="I15" i="9"/>
  <c r="I14" i="9"/>
  <c r="L14" i="9" s="1"/>
  <c r="M14" i="9" s="1"/>
  <c r="K13" i="9"/>
  <c r="J13" i="9"/>
  <c r="I13" i="9"/>
  <c r="L13" i="9" s="1"/>
  <c r="M13" i="9" s="1"/>
  <c r="K12" i="9"/>
  <c r="J12" i="9"/>
  <c r="I12" i="9"/>
  <c r="L12" i="9" s="1"/>
  <c r="M12" i="9" s="1"/>
  <c r="K11" i="9"/>
  <c r="J11" i="9"/>
  <c r="I11" i="9"/>
  <c r="L11" i="9" s="1"/>
  <c r="M11" i="9" s="1"/>
  <c r="K10" i="9"/>
  <c r="J10" i="9"/>
  <c r="I10" i="9"/>
  <c r="L10" i="9" s="1"/>
  <c r="M10" i="9" s="1"/>
  <c r="K9" i="9"/>
  <c r="J9" i="9"/>
  <c r="I9" i="9"/>
  <c r="K8" i="9"/>
  <c r="J8" i="9"/>
  <c r="I8" i="9"/>
  <c r="L8" i="9" s="1"/>
  <c r="M8" i="9" s="1"/>
  <c r="K7" i="9"/>
  <c r="J7" i="9"/>
  <c r="I7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F22" i="9"/>
  <c r="F21" i="9"/>
  <c r="F20" i="9"/>
  <c r="L20" i="9" s="1"/>
  <c r="M20" i="9" s="1"/>
  <c r="F19" i="9"/>
  <c r="F18" i="9"/>
  <c r="F17" i="9"/>
  <c r="F16" i="9"/>
  <c r="F15" i="9"/>
  <c r="L15" i="9" s="1"/>
  <c r="M15" i="9" s="1"/>
  <c r="F14" i="9"/>
  <c r="F13" i="9"/>
  <c r="F12" i="9"/>
  <c r="F11" i="9"/>
  <c r="F10" i="9"/>
  <c r="F9" i="9"/>
  <c r="L9" i="9" s="1"/>
  <c r="M9" i="9" s="1"/>
  <c r="F8" i="9"/>
  <c r="F7" i="9"/>
  <c r="L7" i="9" s="1"/>
  <c r="M7" i="9" s="1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4" i="1"/>
  <c r="C7" i="6"/>
  <c r="C6" i="6"/>
  <c r="C5" i="6"/>
  <c r="D4" i="6"/>
  <c r="C4" i="6"/>
  <c r="D3" i="6"/>
  <c r="C3" i="6"/>
  <c r="D7" i="5"/>
  <c r="C7" i="5"/>
  <c r="D6" i="5"/>
  <c r="C6" i="5"/>
  <c r="D5" i="5"/>
  <c r="C5" i="5"/>
  <c r="D4" i="5"/>
  <c r="C4" i="5"/>
  <c r="D3" i="5"/>
  <c r="C3" i="5"/>
  <c r="D6" i="4"/>
  <c r="D5" i="4"/>
  <c r="D4" i="4"/>
  <c r="C9" i="3"/>
  <c r="C7" i="3"/>
  <c r="C6" i="3"/>
  <c r="C5" i="3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4" i="1"/>
  <c r="C14" i="5" l="1"/>
  <c r="C8" i="4"/>
  <c r="L8" i="10" s="1"/>
  <c r="C11" i="5"/>
  <c r="C12" i="5"/>
  <c r="C10" i="5"/>
  <c r="C13" i="5"/>
</calcChain>
</file>

<file path=xl/sharedStrings.xml><?xml version="1.0" encoding="utf-8"?>
<sst xmlns="http://schemas.openxmlformats.org/spreadsheetml/2006/main" count="600" uniqueCount="178">
  <si>
    <t>SBI – Customer Master Data (60 Records)</t>
  </si>
  <si>
    <t>Customer ID</t>
  </si>
  <si>
    <t>Name</t>
  </si>
  <si>
    <t>City</t>
  </si>
  <si>
    <t>Annual Income (₹)</t>
  </si>
  <si>
    <t>Age</t>
  </si>
  <si>
    <t>Occupation</t>
  </si>
  <si>
    <t>Credit Score</t>
  </si>
  <si>
    <t>Gagan Soni</t>
  </si>
  <si>
    <t>Hyderabad</t>
  </si>
  <si>
    <t>Salaried</t>
  </si>
  <si>
    <t>Rajveer Singh</t>
  </si>
  <si>
    <t>Delhi</t>
  </si>
  <si>
    <t>Business</t>
  </si>
  <si>
    <t>Aditya Sukhdev</t>
  </si>
  <si>
    <t>Mumbai</t>
  </si>
  <si>
    <t>Ram Mohan Rao</t>
  </si>
  <si>
    <t>Self-Employed</t>
  </si>
  <si>
    <t>Siddharth Singh</t>
  </si>
  <si>
    <t>Patna</t>
  </si>
  <si>
    <t>Raghuveer Rathod</t>
  </si>
  <si>
    <t>Jaipur</t>
  </si>
  <si>
    <t>Keshav Chaterjee</t>
  </si>
  <si>
    <t>Pune</t>
  </si>
  <si>
    <t>Nimesh Sood</t>
  </si>
  <si>
    <t>Nagpur</t>
  </si>
  <si>
    <t>Sameer Hussain</t>
  </si>
  <si>
    <t>Raipur</t>
  </si>
  <si>
    <t>Chetana Das</t>
  </si>
  <si>
    <t>Bhubaneswar</t>
  </si>
  <si>
    <t>Priya Mehta</t>
  </si>
  <si>
    <t>Arjun Sharma</t>
  </si>
  <si>
    <t>Sneha Iyer</t>
  </si>
  <si>
    <t>Chennai</t>
  </si>
  <si>
    <t>Vikram Nair</t>
  </si>
  <si>
    <t>Kochi</t>
  </si>
  <si>
    <t>Deepa Krishnan</t>
  </si>
  <si>
    <t>Bangalore</t>
  </si>
  <si>
    <t>Amit Verma</t>
  </si>
  <si>
    <t>Lucknow</t>
  </si>
  <si>
    <t>Rohit Gupta</t>
  </si>
  <si>
    <t>Kanpur</t>
  </si>
  <si>
    <t>Neha Joshi</t>
  </si>
  <si>
    <t>Suresh Pillai</t>
  </si>
  <si>
    <t>Kavita Reddy</t>
  </si>
  <si>
    <t>Manish Tiwari</t>
  </si>
  <si>
    <t>Bhopal</t>
  </si>
  <si>
    <t>Anjali Srivastava</t>
  </si>
  <si>
    <t>Allahabad</t>
  </si>
  <si>
    <t>Pankaj Bhatt</t>
  </si>
  <si>
    <t>Dehradun</t>
  </si>
  <si>
    <t>Ritu Agarwal</t>
  </si>
  <si>
    <t>Tarun Malhotra</t>
  </si>
  <si>
    <t>Amritsar</t>
  </si>
  <si>
    <t>Pooja Saxena</t>
  </si>
  <si>
    <t>Vijay Patil</t>
  </si>
  <si>
    <t>Nashik</t>
  </si>
  <si>
    <t>Sunita Desai</t>
  </si>
  <si>
    <t>Surat</t>
  </si>
  <si>
    <t>Harsh Vardhan</t>
  </si>
  <si>
    <t>Indore</t>
  </si>
  <si>
    <t>Meena Kumari</t>
  </si>
  <si>
    <t>Sanjay Dubey</t>
  </si>
  <si>
    <t>Varanasi</t>
  </si>
  <si>
    <t>Lalita Sharma</t>
  </si>
  <si>
    <t>Rahul Banerjee</t>
  </si>
  <si>
    <t>Kolkata</t>
  </si>
  <si>
    <t>Divya Menon</t>
  </si>
  <si>
    <t>Trivandrum</t>
  </si>
  <si>
    <t>Nikhil Acharya</t>
  </si>
  <si>
    <t>Smita Kulkarni</t>
  </si>
  <si>
    <t>Girish Rao</t>
  </si>
  <si>
    <t>Fatima Shaikh</t>
  </si>
  <si>
    <t>Anand Pillai</t>
  </si>
  <si>
    <t>Preeti Kapoor</t>
  </si>
  <si>
    <t>Chandigarh</t>
  </si>
  <si>
    <t>Mohit Yadav</t>
  </si>
  <si>
    <t>Asha Nair</t>
  </si>
  <si>
    <t>Vivek Mishra</t>
  </si>
  <si>
    <t>Rekha Singh</t>
  </si>
  <si>
    <t>Sunil Thakur</t>
  </si>
  <si>
    <t>Geeta Pandey</t>
  </si>
  <si>
    <t>Arun Kumar</t>
  </si>
  <si>
    <t>Shweta Jain</t>
  </si>
  <si>
    <t>Dinesh Chauhan</t>
  </si>
  <si>
    <t>Ahmedabad</t>
  </si>
  <si>
    <t>Usha Bhatt</t>
  </si>
  <si>
    <t>Ramesh Goyal</t>
  </si>
  <si>
    <t>Nandini Verma</t>
  </si>
  <si>
    <t>Praveen Shetty</t>
  </si>
  <si>
    <t>Mangalore</t>
  </si>
  <si>
    <t>Archana Deshpande</t>
  </si>
  <si>
    <t>Saurabh Tiwari</t>
  </si>
  <si>
    <t>Kamla Devi</t>
  </si>
  <si>
    <t>Harish Chandra</t>
  </si>
  <si>
    <t>Sapna Agarwal</t>
  </si>
  <si>
    <t>Agra</t>
  </si>
  <si>
    <t>Vinod Khanna</t>
  </si>
  <si>
    <t>Sunanda Menon</t>
  </si>
  <si>
    <t>SBI – Loan Portfolio Data (70 Records)</t>
  </si>
  <si>
    <t>Loan ID</t>
  </si>
  <si>
    <t>Loan Type</t>
  </si>
  <si>
    <t>Loan Amount (₹)</t>
  </si>
  <si>
    <t>Interest Rate %</t>
  </si>
  <si>
    <t>Tenure (Months)</t>
  </si>
  <si>
    <t>Status</t>
  </si>
  <si>
    <t>Loan Date</t>
  </si>
  <si>
    <t>EMI Amount (₹)</t>
  </si>
  <si>
    <t>Home Loan</t>
  </si>
  <si>
    <t>Active</t>
  </si>
  <si>
    <t>Business Loan</t>
  </si>
  <si>
    <t>Personal Loan</t>
  </si>
  <si>
    <t>NPA</t>
  </si>
  <si>
    <t>Auto Loan</t>
  </si>
  <si>
    <t>Education Loan</t>
  </si>
  <si>
    <t>Closed</t>
  </si>
  <si>
    <t xml:space="preserve">Portfolio Overview </t>
  </si>
  <si>
    <t>Total Portfolio (₹ Cr)</t>
  </si>
  <si>
    <t>Total Loans</t>
  </si>
  <si>
    <t>Total Customers</t>
  </si>
  <si>
    <t>Avg Interest Rate</t>
  </si>
  <si>
    <t>Avg Loan Amount (₹ K)</t>
  </si>
  <si>
    <t>Active Loans</t>
  </si>
  <si>
    <t>NPA Loans</t>
  </si>
  <si>
    <t>Closed Loans</t>
  </si>
  <si>
    <t>Gross NPA Rate</t>
  </si>
  <si>
    <t>Number of Loans</t>
  </si>
  <si>
    <t>NPA Analysis</t>
  </si>
  <si>
    <t>Amount (Cr)</t>
  </si>
  <si>
    <t>Amount(Cr)</t>
  </si>
  <si>
    <t>NPA Amount</t>
  </si>
  <si>
    <t>Portfolio %</t>
  </si>
  <si>
    <t>Total Amount (CR)</t>
  </si>
  <si>
    <t>NPA Rate %</t>
  </si>
  <si>
    <t>NPA by Credit Score Band</t>
  </si>
  <si>
    <t>Credit Band</t>
  </si>
  <si>
    <t>Customer Count</t>
  </si>
  <si>
    <t>NPA Loan Count</t>
  </si>
  <si>
    <t>Excellent (750+)</t>
  </si>
  <si>
    <t>Good (650-749)</t>
  </si>
  <si>
    <t>Fair (550-649)</t>
  </si>
  <si>
    <t>Poor (&lt;550)</t>
  </si>
  <si>
    <t>credit_score</t>
  </si>
  <si>
    <t>NPA Rate%</t>
  </si>
  <si>
    <t>GEOGRAPHIC &amp; OCCUPATION PORTFOLIO ANALYSIS</t>
  </si>
  <si>
    <t>City-Wise Loan Exposure (Top 15)</t>
  </si>
  <si>
    <t>Occupation-Wise Portfolio Summary</t>
  </si>
  <si>
    <t># Loans</t>
  </si>
  <si>
    <t>Amount (₹Cr)</t>
  </si>
  <si>
    <t>Avg Credit Score</t>
  </si>
  <si>
    <t>Avg Credit</t>
  </si>
  <si>
    <t>Avg Income</t>
  </si>
  <si>
    <t>CREDIT RISK ANALYSIS — NPA Watchlist &amp; EMI Burden</t>
  </si>
  <si>
    <t>High-Risk NPA Watchlist</t>
  </si>
  <si>
    <t>Cust ID</t>
  </si>
  <si>
    <t>Income (₹)</t>
  </si>
  <si>
    <t>Amount (₹)</t>
  </si>
  <si>
    <t>Rate %</t>
  </si>
  <si>
    <t>LTI Ratio</t>
  </si>
  <si>
    <t>Risk Flag</t>
  </si>
  <si>
    <t>EMI Burden Analysis — Repayment Health</t>
  </si>
  <si>
    <t>Monthly Income</t>
  </si>
  <si>
    <t>Total EMI</t>
  </si>
  <si>
    <t>EMI Burden %</t>
  </si>
  <si>
    <t>Health</t>
  </si>
  <si>
    <t>SBI BANK — LOAN PORTFOLIO ANALYSIS DASHBOARD</t>
  </si>
  <si>
    <t>Gross Book</t>
  </si>
  <si>
    <t>Avg Yield</t>
  </si>
  <si>
    <t>Avg Ticket</t>
  </si>
  <si>
    <t>Gross NPA</t>
  </si>
  <si>
    <t>Share %</t>
  </si>
  <si>
    <t>Portfolio Status Distribution</t>
  </si>
  <si>
    <t>Loan Type Performance</t>
  </si>
  <si>
    <t>Avg Rate %</t>
  </si>
  <si>
    <t>NPA Count</t>
  </si>
  <si>
    <t>Active Book</t>
  </si>
  <si>
    <t>Closed Book</t>
  </si>
  <si>
    <t>NPA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</si>
</sst>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₹&quot;\ #,##0.00;&quot;₹&quot;\ \-#,##0.00"/>
    <numFmt numFmtId="8" formatCode="&quot;₹&quot;\ #,##0.00;[Red]&quot;₹&quot;\ \-#,##0.00"/>
    <numFmt numFmtId="164" formatCode="0.00&quot;%&quot;"/>
    <numFmt numFmtId="165" formatCode="yyyy\-mm\-dd"/>
    <numFmt numFmtId="166" formatCode="&quot;₹&quot;\ #,##0.00;&quot;₹&quot;\ \-#,##0.00,\ \-"/>
    <numFmt numFmtId="167" formatCode="0.0&quot;%&quot;"/>
    <numFmt numFmtId="168" formatCode="&quot;₹&quot;\ #,##0.00\ \C\r;&quot;₹&quot;\ \-#,##0.00\ \C\r"/>
  </numFmts>
  <fonts count="16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 Unicode MS"/>
    </font>
    <font>
      <sz val="11"/>
      <color theme="1"/>
      <name val="Aptos Narrow"/>
      <family val="2"/>
      <scheme val="minor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8"/>
      <color rgb="FFFFFFFF"/>
      <name val="Arial"/>
      <family val="2"/>
    </font>
    <font>
      <sz val="16"/>
      <color theme="1"/>
      <name val="Calibri"/>
      <family val="2"/>
    </font>
    <font>
      <b/>
      <sz val="22"/>
      <color theme="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B3A6B"/>
      </patternFill>
    </fill>
    <fill>
      <patternFill patternType="solid">
        <fgColor rgb="FFFFFFFF"/>
      </patternFill>
    </fill>
    <fill>
      <patternFill patternType="solid">
        <fgColor rgb="FFC0392B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1A5276"/>
      </patternFill>
    </fill>
    <fill>
      <patternFill patternType="solid">
        <fgColor rgb="FF8B0000"/>
      </patternFill>
    </fill>
    <fill>
      <patternFill patternType="solid">
        <fgColor rgb="FF1B4F72"/>
      </patternFill>
    </fill>
    <fill>
      <patternFill patternType="solid">
        <fgColor rgb="FF99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C3E5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/>
  </cellStyleXfs>
  <cellXfs count="107">
    <xf numFmtId="0" fontId="0" fillId="0" borderId="0" xfId="0"/>
    <xf numFmtId="1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7" fontId="6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 wrapText="1"/>
    </xf>
    <xf numFmtId="8" fontId="0" fillId="0" borderId="2" xfId="0" applyNumberFormat="1" applyBorder="1" applyAlignment="1">
      <alignment horizontal="center"/>
    </xf>
    <xf numFmtId="3" fontId="8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9" fillId="0" borderId="2" xfId="0" applyFont="1" applyBorder="1"/>
    <xf numFmtId="0" fontId="2" fillId="0" borderId="2" xfId="0" applyFont="1" applyBorder="1"/>
    <xf numFmtId="0" fontId="9" fillId="0" borderId="2" xfId="0" applyFont="1" applyBorder="1" applyAlignment="1">
      <alignment horizontal="right"/>
    </xf>
    <xf numFmtId="0" fontId="9" fillId="0" borderId="0" xfId="0" applyFont="1"/>
    <xf numFmtId="7" fontId="0" fillId="0" borderId="2" xfId="0" applyNumberFormat="1" applyBorder="1"/>
    <xf numFmtId="166" fontId="0" fillId="0" borderId="2" xfId="0" applyNumberFormat="1" applyBorder="1"/>
    <xf numFmtId="0" fontId="1" fillId="10" borderId="2" xfId="0" applyFont="1" applyFill="1" applyBorder="1"/>
    <xf numFmtId="0" fontId="2" fillId="11" borderId="2" xfId="0" applyFont="1" applyFill="1" applyBorder="1"/>
    <xf numFmtId="0" fontId="1" fillId="6" borderId="2" xfId="0" applyFont="1" applyFill="1" applyBorder="1"/>
    <xf numFmtId="0" fontId="1" fillId="7" borderId="2" xfId="0" applyFont="1" applyFill="1" applyBorder="1"/>
    <xf numFmtId="0" fontId="1" fillId="8" borderId="2" xfId="0" applyFont="1" applyFill="1" applyBorder="1"/>
    <xf numFmtId="0" fontId="1" fillId="9" borderId="2" xfId="0" applyFont="1" applyFill="1" applyBorder="1"/>
    <xf numFmtId="0" fontId="2" fillId="11" borderId="6" xfId="0" applyFont="1" applyFill="1" applyBorder="1"/>
    <xf numFmtId="0" fontId="2" fillId="11" borderId="3" xfId="0" applyFont="1" applyFill="1" applyBorder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0" fillId="0" borderId="0" xfId="1"/>
    <xf numFmtId="0" fontId="6" fillId="2" borderId="1" xfId="1" applyFont="1" applyFill="1" applyBorder="1" applyAlignment="1">
      <alignment horizontal="center" vertical="center"/>
    </xf>
    <xf numFmtId="3" fontId="6" fillId="2" borderId="1" xfId="1" applyNumberFormat="1" applyFont="1" applyFill="1" applyBorder="1" applyAlignment="1">
      <alignment horizontal="center" vertical="center"/>
    </xf>
    <xf numFmtId="4" fontId="6" fillId="2" borderId="1" xfId="1" applyNumberFormat="1" applyFont="1" applyFill="1" applyBorder="1" applyAlignment="1">
      <alignment horizontal="center" vertical="center"/>
    </xf>
    <xf numFmtId="167" fontId="6" fillId="2" borderId="0" xfId="1" applyNumberFormat="1" applyFont="1" applyFill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3" fontId="6" fillId="4" borderId="1" xfId="1" applyNumberFormat="1" applyFont="1" applyFill="1" applyBorder="1" applyAlignment="1">
      <alignment horizontal="center" vertical="center"/>
    </xf>
    <xf numFmtId="4" fontId="6" fillId="4" borderId="1" xfId="1" applyNumberFormat="1" applyFont="1" applyFill="1" applyBorder="1" applyAlignment="1">
      <alignment horizontal="center" vertical="center"/>
    </xf>
    <xf numFmtId="167" fontId="6" fillId="4" borderId="0" xfId="1" applyNumberFormat="1" applyFont="1" applyFill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 vertical="center"/>
    </xf>
    <xf numFmtId="167" fontId="6" fillId="4" borderId="1" xfId="1" applyNumberFormat="1" applyFont="1" applyFill="1" applyBorder="1" applyAlignment="1">
      <alignment horizontal="center" vertical="center"/>
    </xf>
    <xf numFmtId="0" fontId="5" fillId="12" borderId="0" xfId="1" applyFont="1" applyFill="1" applyAlignment="1">
      <alignment horizontal="center" vertical="center" wrapText="1"/>
    </xf>
    <xf numFmtId="0" fontId="5" fillId="14" borderId="0" xfId="1" applyFont="1" applyFill="1" applyAlignment="1">
      <alignment horizontal="center" vertical="center" wrapText="1"/>
    </xf>
    <xf numFmtId="3" fontId="6" fillId="2" borderId="0" xfId="1" applyNumberFormat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4" fontId="6" fillId="2" borderId="0" xfId="1" applyNumberFormat="1" applyFont="1" applyFill="1" applyAlignment="1">
      <alignment horizontal="center" vertical="center"/>
    </xf>
    <xf numFmtId="3" fontId="6" fillId="4" borderId="0" xfId="1" applyNumberFormat="1" applyFont="1" applyFill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4" fontId="6" fillId="4" borderId="0" xfId="1" applyNumberFormat="1" applyFont="1" applyFill="1" applyAlignment="1">
      <alignment horizontal="center" vertical="center"/>
    </xf>
    <xf numFmtId="7" fontId="6" fillId="2" borderId="0" xfId="1" applyNumberFormat="1" applyFont="1" applyFill="1" applyAlignment="1">
      <alignment horizontal="center" vertical="center"/>
    </xf>
    <xf numFmtId="7" fontId="6" fillId="4" borderId="0" xfId="1" applyNumberFormat="1" applyFont="1" applyFill="1" applyAlignment="1">
      <alignment horizontal="center" vertical="center"/>
    </xf>
    <xf numFmtId="0" fontId="5" fillId="13" borderId="2" xfId="1" applyFont="1" applyFill="1" applyBorder="1" applyAlignment="1">
      <alignment horizontal="center" vertical="center" wrapText="1"/>
    </xf>
    <xf numFmtId="1" fontId="0" fillId="0" borderId="2" xfId="0" applyNumberFormat="1" applyBorder="1"/>
    <xf numFmtId="3" fontId="0" fillId="0" borderId="2" xfId="0" applyNumberFormat="1" applyBorder="1"/>
    <xf numFmtId="2" fontId="0" fillId="0" borderId="2" xfId="0" applyNumberFormat="1" applyBorder="1"/>
    <xf numFmtId="0" fontId="5" fillId="15" borderId="0" xfId="1" applyFont="1" applyFill="1" applyAlignment="1">
      <alignment horizontal="center" vertical="center" wrapText="1"/>
    </xf>
    <xf numFmtId="1" fontId="6" fillId="0" borderId="2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 wrapText="1"/>
    </xf>
    <xf numFmtId="0" fontId="1" fillId="18" borderId="2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0" fillId="0" borderId="2" xfId="0" applyBorder="1" applyAlignment="1">
      <alignment horizontal="right"/>
    </xf>
    <xf numFmtId="164" fontId="6" fillId="0" borderId="2" xfId="0" applyNumberFormat="1" applyFont="1" applyBorder="1" applyAlignment="1">
      <alignment horizontal="right" vertical="center"/>
    </xf>
    <xf numFmtId="0" fontId="0" fillId="20" borderId="0" xfId="0" applyFill="1" applyAlignment="1">
      <alignment horizontal="center"/>
    </xf>
    <xf numFmtId="0" fontId="1" fillId="20" borderId="0" xfId="0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3" fillId="3" borderId="0" xfId="0" applyFont="1" applyFill="1" applyAlignment="1">
      <alignment horizontal="center" vertical="center"/>
    </xf>
    <xf numFmtId="0" fontId="1" fillId="19" borderId="0" xfId="0" applyFont="1" applyFill="1" applyAlignment="1">
      <alignment horizontal="center"/>
    </xf>
    <xf numFmtId="168" fontId="15" fillId="19" borderId="0" xfId="0" applyNumberFormat="1" applyFont="1" applyFill="1" applyAlignment="1">
      <alignment horizontal="center"/>
    </xf>
    <xf numFmtId="0" fontId="0" fillId="19" borderId="0" xfId="0" applyFill="1" applyAlignment="1">
      <alignment horizontal="center"/>
    </xf>
    <xf numFmtId="0" fontId="1" fillId="23" borderId="0" xfId="0" applyFont="1" applyFill="1" applyAlignment="1">
      <alignment horizontal="center"/>
    </xf>
    <xf numFmtId="9" fontId="15" fillId="23" borderId="0" xfId="0" applyNumberFormat="1" applyFont="1" applyFill="1" applyAlignment="1">
      <alignment horizontal="center"/>
    </xf>
    <xf numFmtId="0" fontId="15" fillId="23" borderId="0" xfId="0" applyFont="1" applyFill="1" applyAlignment="1">
      <alignment horizontal="center"/>
    </xf>
    <xf numFmtId="0" fontId="1" fillId="22" borderId="0" xfId="0" applyFont="1" applyFill="1" applyAlignment="1">
      <alignment horizontal="center"/>
    </xf>
    <xf numFmtId="0" fontId="0" fillId="21" borderId="0" xfId="0" applyFill="1" applyAlignment="1">
      <alignment horizontal="center"/>
    </xf>
    <xf numFmtId="0" fontId="1" fillId="21" borderId="0" xfId="0" applyFont="1" applyFill="1" applyAlignment="1">
      <alignment horizontal="center"/>
    </xf>
    <xf numFmtId="0" fontId="15" fillId="21" borderId="0" xfId="0" applyFont="1" applyFill="1" applyAlignment="1">
      <alignment horizontal="center"/>
    </xf>
    <xf numFmtId="0" fontId="3" fillId="21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168" fontId="15" fillId="16" borderId="0" xfId="0" applyNumberFormat="1" applyFont="1" applyFill="1" applyAlignment="1">
      <alignment horizontal="center"/>
    </xf>
    <xf numFmtId="0" fontId="0" fillId="9" borderId="0" xfId="0" applyFill="1" applyAlignment="1">
      <alignment horizontal="center"/>
    </xf>
    <xf numFmtId="0" fontId="1" fillId="9" borderId="0" xfId="0" applyFont="1" applyFill="1" applyAlignment="1">
      <alignment horizontal="center"/>
    </xf>
    <xf numFmtId="10" fontId="15" fillId="9" borderId="0" xfId="0" applyNumberFormat="1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8" fontId="15" fillId="6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168" fontId="15" fillId="10" borderId="0" xfId="0" applyNumberFormat="1" applyFont="1" applyFill="1" applyAlignment="1">
      <alignment horizontal="center"/>
    </xf>
    <xf numFmtId="168" fontId="15" fillId="22" borderId="0" xfId="0" applyNumberFormat="1" applyFont="1" applyFill="1" applyAlignment="1">
      <alignment horizontal="center"/>
    </xf>
    <xf numFmtId="0" fontId="4" fillId="10" borderId="2" xfId="0" applyFont="1" applyFill="1" applyBorder="1" applyAlignment="1">
      <alignment horizontal="center" vertical="center"/>
    </xf>
    <xf numFmtId="0" fontId="0" fillId="10" borderId="2" xfId="0" applyFill="1" applyBorder="1"/>
    <xf numFmtId="0" fontId="4" fillId="10" borderId="5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12" fillId="14" borderId="0" xfId="1" applyFont="1" applyFill="1" applyAlignment="1">
      <alignment horizontal="center" vertical="center"/>
    </xf>
    <xf numFmtId="0" fontId="10" fillId="0" borderId="0" xfId="1"/>
    <xf numFmtId="0" fontId="11" fillId="3" borderId="0" xfId="1" applyFont="1" applyFill="1" applyAlignment="1">
      <alignment horizontal="center" vertical="center"/>
    </xf>
    <xf numFmtId="0" fontId="12" fillId="12" borderId="0" xfId="1" applyFont="1" applyFill="1" applyAlignment="1">
      <alignment horizontal="center" vertical="center"/>
    </xf>
    <xf numFmtId="0" fontId="12" fillId="13" borderId="2" xfId="1" applyFont="1" applyFill="1" applyBorder="1" applyAlignment="1">
      <alignment horizontal="center" vertical="center"/>
    </xf>
    <xf numFmtId="0" fontId="10" fillId="0" borderId="2" xfId="1" applyBorder="1"/>
    <xf numFmtId="0" fontId="12" fillId="15" borderId="0" xfId="1" applyFont="1" applyFill="1" applyAlignment="1">
      <alignment horizontal="center" vertical="center"/>
    </xf>
    <xf numFmtId="0" fontId="11" fillId="5" borderId="7" xfId="1" applyFont="1" applyFill="1" applyBorder="1" applyAlignment="1">
      <alignment horizontal="center" vertical="center"/>
    </xf>
    <xf numFmtId="0" fontId="11" fillId="5" borderId="0" xfId="1" applyFont="1" applyFill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E5FF276E-4829-4C03-B922-725357E85665}"/>
  </cellStyles>
  <dxfs count="18"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-0.24994659260841701"/>
        </patternFill>
      </fill>
    </dxf>
    <dxf>
      <fill>
        <patternFill>
          <bgColor rgb="FFFF33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54645326690265"/>
          <c:y val="0.16589497933749128"/>
          <c:w val="0.84254755939801595"/>
          <c:h val="0.631796500983549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'NPA Rate by Loan Type'!$C$2</c:f>
              <c:strCache>
                <c:ptCount val="1"/>
                <c:pt idx="0">
                  <c:v>Total Amount (CR)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'NPA Rate by Loan Type'!$B$3:$B$7</c:f>
              <c:strCache>
                <c:ptCount val="5"/>
                <c:pt idx="0">
                  <c:v>Home Loan</c:v>
                </c:pt>
                <c:pt idx="1">
                  <c:v>Business Loan</c:v>
                </c:pt>
                <c:pt idx="2">
                  <c:v>Personal Loan</c:v>
                </c:pt>
                <c:pt idx="3">
                  <c:v>Auto Loan</c:v>
                </c:pt>
                <c:pt idx="4">
                  <c:v>Education Loan</c:v>
                </c:pt>
              </c:strCache>
            </c:strRef>
          </c:cat>
          <c:val>
            <c:numRef>
              <c:f>'NPA Rate by Loan Type'!$C$3:$C$7</c:f>
              <c:numCache>
                <c:formatCode>"₹"\ #,##0.00;"₹"\ \-#,##0.00,\ \-</c:formatCode>
                <c:ptCount val="5"/>
                <c:pt idx="0">
                  <c:v>47.86</c:v>
                </c:pt>
                <c:pt idx="1">
                  <c:v>26.25</c:v>
                </c:pt>
                <c:pt idx="2">
                  <c:v>6.22</c:v>
                </c:pt>
                <c:pt idx="3">
                  <c:v>8.0299999999999994</c:v>
                </c:pt>
                <c:pt idx="4">
                  <c:v>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3-4F96-BFE1-3CE08F013760}"/>
            </c:ext>
          </c:extLst>
        </c:ser>
        <c:ser>
          <c:idx val="1"/>
          <c:order val="1"/>
          <c:tx>
            <c:strRef>
              <c:f>'NPA Rate by Loan Type'!$D$2</c:f>
              <c:strCache>
                <c:ptCount val="1"/>
                <c:pt idx="0">
                  <c:v>NPA Amount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'NPA Rate by Loan Type'!$B$3:$B$7</c:f>
              <c:strCache>
                <c:ptCount val="5"/>
                <c:pt idx="0">
                  <c:v>Home Loan</c:v>
                </c:pt>
                <c:pt idx="1">
                  <c:v>Business Loan</c:v>
                </c:pt>
                <c:pt idx="2">
                  <c:v>Personal Loan</c:v>
                </c:pt>
                <c:pt idx="3">
                  <c:v>Auto Loan</c:v>
                </c:pt>
                <c:pt idx="4">
                  <c:v>Education Loan</c:v>
                </c:pt>
              </c:strCache>
            </c:strRef>
          </c:cat>
          <c:val>
            <c:numRef>
              <c:f>'NPA Rate by Loan Type'!$D$3:$D$7</c:f>
              <c:numCache>
                <c:formatCode>"₹"\ #,##0.00;"₹"\ \-#,##0.00,\ \-</c:formatCode>
                <c:ptCount val="5"/>
                <c:pt idx="0">
                  <c:v>0</c:v>
                </c:pt>
                <c:pt idx="1">
                  <c:v>2.67</c:v>
                </c:pt>
                <c:pt idx="2">
                  <c:v>5.25</c:v>
                </c:pt>
                <c:pt idx="3">
                  <c:v>0.57999999999999996</c:v>
                </c:pt>
                <c:pt idx="4">
                  <c:v>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A3-4F96-BFE1-3CE08F0137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22409679"/>
        <c:axId val="2022401039"/>
      </c:barChart>
      <c:catAx>
        <c:axId val="202240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401039"/>
        <c:crosses val="autoZero"/>
        <c:auto val="1"/>
        <c:lblAlgn val="ctr"/>
        <c:lblOffset val="100"/>
        <c:noMultiLvlLbl val="0"/>
      </c:catAx>
      <c:valAx>
        <c:axId val="202240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&quot;₹&quot;\ \-#,##0.00,\ 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40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Portfolio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843376708856259"/>
          <c:y val="0.26173301254009917"/>
          <c:w val="0.49385250913910111"/>
          <c:h val="0.64769138232720913"/>
        </c:manualLayout>
      </c:layout>
      <c:doughnutChart>
        <c:varyColors val="1"/>
        <c:ser>
          <c:idx val="0"/>
          <c:order val="0"/>
          <c:tx>
            <c:strRef>
              <c:f>'Portfolio Status Distribution'!$C$3</c:f>
              <c:strCache>
                <c:ptCount val="1"/>
                <c:pt idx="0">
                  <c:v># Loans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10F-4C75-ADDB-A3D5CEA96D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10F-4C75-ADDB-A3D5CEA96D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10F-4C75-ADDB-A3D5CEA96D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'Portfolio Status Distribution'!$B$4:$B$6</c:f>
              <c:strCache>
                <c:ptCount val="3"/>
                <c:pt idx="0">
                  <c:v>Active</c:v>
                </c:pt>
                <c:pt idx="1">
                  <c:v>Closed</c:v>
                </c:pt>
                <c:pt idx="2">
                  <c:v>NPA</c:v>
                </c:pt>
              </c:strCache>
            </c:strRef>
          </c:cat>
          <c:val>
            <c:numRef>
              <c:f>'Portfolio Status Distribution'!$C$4:$C$6</c:f>
              <c:numCache>
                <c:formatCode>General</c:formatCode>
                <c:ptCount val="3"/>
                <c:pt idx="0">
                  <c:v>49</c:v>
                </c:pt>
                <c:pt idx="1">
                  <c:v>5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0F-4C75-ADDB-A3D5CEA96D5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NPA by Credit Score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'Credit Score Band Analysis'!$C$3</c:f>
              <c:strCache>
                <c:ptCount val="1"/>
                <c:pt idx="0">
                  <c:v>Customer 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Score Band Analysis'!$B$4:$B$7</c:f>
              <c:strCache>
                <c:ptCount val="4"/>
                <c:pt idx="0">
                  <c:v>Excellent (750+)</c:v>
                </c:pt>
                <c:pt idx="1">
                  <c:v>Good (650-749)</c:v>
                </c:pt>
                <c:pt idx="2">
                  <c:v>Fair (550-649)</c:v>
                </c:pt>
                <c:pt idx="3">
                  <c:v>Poor (&lt;550)</c:v>
                </c:pt>
              </c:strCache>
            </c:strRef>
          </c:cat>
          <c:val>
            <c:numRef>
              <c:f>'Credit Score Band Analysis'!$C$4:$C$7</c:f>
              <c:numCache>
                <c:formatCode>General</c:formatCode>
                <c:ptCount val="4"/>
                <c:pt idx="0">
                  <c:v>18</c:v>
                </c:pt>
                <c:pt idx="1">
                  <c:v>17</c:v>
                </c:pt>
                <c:pt idx="2">
                  <c:v>15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3-4A3C-81D5-811848885AC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6393519"/>
        <c:axId val="186395439"/>
      </c:barChart>
      <c:catAx>
        <c:axId val="186393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95439"/>
        <c:crosses val="autoZero"/>
        <c:auto val="1"/>
        <c:lblAlgn val="ctr"/>
        <c:lblOffset val="100"/>
        <c:noMultiLvlLbl val="0"/>
      </c:catAx>
      <c:valAx>
        <c:axId val="18639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9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Occupation Mix-Portfolio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 City-wise Exposure'!$K$6</c:f>
              <c:strCache>
                <c:ptCount val="1"/>
                <c:pt idx="0">
                  <c:v># Loans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16-43D5-A179-B4CF030FCF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16-43D5-A179-B4CF030FCF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16-43D5-A179-B4CF030FCF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City-wise Exposure'!$J$7:$J$9</c:f>
              <c:strCache>
                <c:ptCount val="3"/>
                <c:pt idx="0">
                  <c:v>Business</c:v>
                </c:pt>
                <c:pt idx="1">
                  <c:v>Salaried</c:v>
                </c:pt>
                <c:pt idx="2">
                  <c:v>Self-Employed</c:v>
                </c:pt>
              </c:strCache>
            </c:strRef>
          </c:cat>
          <c:val>
            <c:numRef>
              <c:f>' City-wise Exposure'!$K$7:$K$9</c:f>
              <c:numCache>
                <c:formatCode>#,##0</c:formatCode>
                <c:ptCount val="3"/>
                <c:pt idx="0">
                  <c:v>15</c:v>
                </c:pt>
                <c:pt idx="1">
                  <c:v>41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16-43D5-A179-B4CF030FCF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'NPA Rate by Loan Type'!$C$9</c:f>
              <c:strCache>
                <c:ptCount val="1"/>
                <c:pt idx="0">
                  <c:v>NPA Rate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'NPA Rate by Loan Type'!$B$10:$B$14</c:f>
              <c:strCache>
                <c:ptCount val="5"/>
                <c:pt idx="0">
                  <c:v>Home Loan</c:v>
                </c:pt>
                <c:pt idx="1">
                  <c:v>Business Loan</c:v>
                </c:pt>
                <c:pt idx="2">
                  <c:v>Personal Loan</c:v>
                </c:pt>
                <c:pt idx="3">
                  <c:v>Auto Loan</c:v>
                </c:pt>
                <c:pt idx="4">
                  <c:v>Education Loan</c:v>
                </c:pt>
              </c:strCache>
            </c:strRef>
          </c:cat>
          <c:val>
            <c:numRef>
              <c:f>'NPA Rate by Loan Type'!$C$10:$C$14</c:f>
              <c:numCache>
                <c:formatCode>0.00"%"</c:formatCode>
                <c:ptCount val="5"/>
                <c:pt idx="0">
                  <c:v>0</c:v>
                </c:pt>
                <c:pt idx="1">
                  <c:v>10.199999999999999</c:v>
                </c:pt>
                <c:pt idx="2">
                  <c:v>84.4</c:v>
                </c:pt>
                <c:pt idx="3">
                  <c:v>7.2</c:v>
                </c:pt>
                <c:pt idx="4">
                  <c:v>32.700000000000003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93-4759-9630-B65E9CDD46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4564079"/>
        <c:axId val="184612079"/>
      </c:lineChart>
      <c:catAx>
        <c:axId val="18456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12079"/>
        <c:crosses val="autoZero"/>
        <c:auto val="1"/>
        <c:lblAlgn val="ctr"/>
        <c:lblOffset val="100"/>
        <c:noMultiLvlLbl val="0"/>
      </c:catAx>
      <c:valAx>
        <c:axId val="18461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6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City-Wise Loan Exposure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City-Wise Loan Exposure</a:t>
          </a:r>
        </a:p>
      </cx:txPr>
    </cx:title>
    <cx:plotArea>
      <cx:plotAreaRegion>
        <cx:series layoutId="funnel" uniqueId="{44ECB3E1-00EE-40EC-9E39-F3B1582DC1EE}">
          <cx:tx>
            <cx:txData>
              <cx:f>_xlchart.v2.1</cx:f>
              <cx:v>Amount (₹Cr)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10885</xdr:colOff>
      <xdr:row>8</xdr:row>
      <xdr:rowOff>168727</xdr:rowOff>
    </xdr:from>
    <xdr:to>
      <xdr:col>7</xdr:col>
      <xdr:colOff>337456</xdr:colOff>
      <xdr:row>24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368078-616A-49E7-A546-493A80686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391885</xdr:colOff>
      <xdr:row>9</xdr:row>
      <xdr:rowOff>10885</xdr:rowOff>
    </xdr:from>
    <xdr:to>
      <xdr:col>18</xdr:col>
      <xdr:colOff>615042</xdr:colOff>
      <xdr:row>24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42AC6E-7881-404C-87E3-593B7849E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381001</xdr:colOff>
      <xdr:row>9</xdr:row>
      <xdr:rowOff>0</xdr:rowOff>
    </xdr:from>
    <xdr:to>
      <xdr:col>13</xdr:col>
      <xdr:colOff>326573</xdr:colOff>
      <xdr:row>24</xdr:row>
      <xdr:rowOff>81643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1BEE18-48DA-48D0-8FD3-DE4B4F885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5444</xdr:colOff>
      <xdr:row>25</xdr:row>
      <xdr:rowOff>16329</xdr:rowOff>
    </xdr:from>
    <xdr:to>
      <xdr:col>7</xdr:col>
      <xdr:colOff>332015</xdr:colOff>
      <xdr:row>41</xdr:row>
      <xdr:rowOff>59871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6A2324-E007-423C-B255-CAC45C5A4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386444</xdr:colOff>
      <xdr:row>25</xdr:row>
      <xdr:rowOff>10885</xdr:rowOff>
    </xdr:from>
    <xdr:to>
      <xdr:col>13</xdr:col>
      <xdr:colOff>359230</xdr:colOff>
      <xdr:row>41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FEB746-ECB3-473E-A2AA-287CC1627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413658</xdr:colOff>
      <xdr:row>25</xdr:row>
      <xdr:rowOff>43542</xdr:rowOff>
    </xdr:from>
    <xdr:to>
      <xdr:col>18</xdr:col>
      <xdr:colOff>609600</xdr:colOff>
      <xdr:row>41</xdr:row>
      <xdr:rowOff>32656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0111559F-A082-4C51-8C16-B997004238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75915" y="5061856"/>
              <a:ext cx="3461656" cy="29500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366910-F338-4A4D-84D9-8597D7486CBF}">
  <we:reference id="wa200000018" version="25.2.0.0" store="en-US" storeType="OMEX"/>
  <we:alternateReferences>
    <we:reference id="wa200000018" version="25.2.0.0" store="wa200000018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0584-BC26-47AC-B52F-7613282DA3D6}">
  <dimension ref="B2:H63"/>
  <sheetViews>
    <sheetView showGridLines="0" workbookViewId="0">
      <selection activeCell="B20" sqref="B20"/>
    </sheetView>
  </sheetViews>
  <sheetFormatPr defaultRowHeight="14.6"/>
  <cols>
    <col min="1" max="1" width="1.84375" customWidth="1"/>
    <col min="2" max="2" width="15.07421875" customWidth="1"/>
    <col min="3" max="3" width="18.53515625" customWidth="1"/>
    <col min="5" max="5" width="18.69140625" customWidth="1"/>
    <col min="6" max="6" width="14.84375" customWidth="1"/>
    <col min="7" max="7" width="16.765625" customWidth="1"/>
    <col min="8" max="8" width="14.4609375" customWidth="1"/>
  </cols>
  <sheetData>
    <row r="2" spans="2:8" ht="16.3">
      <c r="B2" s="91" t="s">
        <v>0</v>
      </c>
      <c r="C2" s="92"/>
      <c r="D2" s="92"/>
      <c r="E2" s="92"/>
      <c r="F2" s="92"/>
      <c r="G2" s="92"/>
      <c r="H2" s="92"/>
    </row>
    <row r="3" spans="2:8" ht="16.3" customHeight="1"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</row>
    <row r="4" spans="2:8">
      <c r="B4" s="1">
        <v>111101</v>
      </c>
      <c r="C4" s="2" t="s">
        <v>8</v>
      </c>
      <c r="D4" s="2" t="s">
        <v>9</v>
      </c>
      <c r="E4" s="3">
        <v>200000</v>
      </c>
      <c r="F4" s="5">
        <v>34</v>
      </c>
      <c r="G4" s="2" t="s">
        <v>10</v>
      </c>
      <c r="H4" s="10">
        <v>780</v>
      </c>
    </row>
    <row r="5" spans="2:8">
      <c r="B5" s="1">
        <v>111102</v>
      </c>
      <c r="C5" s="2" t="s">
        <v>11</v>
      </c>
      <c r="D5" s="2" t="s">
        <v>12</v>
      </c>
      <c r="E5" s="3">
        <v>150000</v>
      </c>
      <c r="F5" s="5">
        <v>45</v>
      </c>
      <c r="G5" s="2" t="s">
        <v>13</v>
      </c>
      <c r="H5" s="10">
        <v>650</v>
      </c>
    </row>
    <row r="6" spans="2:8">
      <c r="B6" s="1">
        <v>111103</v>
      </c>
      <c r="C6" s="2" t="s">
        <v>14</v>
      </c>
      <c r="D6" s="2" t="s">
        <v>15</v>
      </c>
      <c r="E6" s="3">
        <v>250000</v>
      </c>
      <c r="F6" s="5">
        <v>29</v>
      </c>
      <c r="G6" s="2" t="s">
        <v>10</v>
      </c>
      <c r="H6" s="10">
        <v>820</v>
      </c>
    </row>
    <row r="7" spans="2:8">
      <c r="B7" s="1">
        <v>111104</v>
      </c>
      <c r="C7" s="2" t="s">
        <v>16</v>
      </c>
      <c r="D7" s="2" t="s">
        <v>9</v>
      </c>
      <c r="E7" s="3">
        <v>100000</v>
      </c>
      <c r="F7" s="5">
        <v>52</v>
      </c>
      <c r="G7" s="2" t="s">
        <v>17</v>
      </c>
      <c r="H7" s="10">
        <v>590</v>
      </c>
    </row>
    <row r="8" spans="2:8">
      <c r="B8" s="1">
        <v>111105</v>
      </c>
      <c r="C8" s="2" t="s">
        <v>18</v>
      </c>
      <c r="D8" s="2" t="s">
        <v>19</v>
      </c>
      <c r="E8" s="3">
        <v>50000</v>
      </c>
      <c r="F8" s="5">
        <v>38</v>
      </c>
      <c r="G8" s="2" t="s">
        <v>10</v>
      </c>
      <c r="H8" s="10">
        <v>480</v>
      </c>
    </row>
    <row r="9" spans="2:8">
      <c r="B9" s="1">
        <v>111106</v>
      </c>
      <c r="C9" s="2" t="s">
        <v>20</v>
      </c>
      <c r="D9" s="2" t="s">
        <v>21</v>
      </c>
      <c r="E9" s="3">
        <v>250000</v>
      </c>
      <c r="F9" s="5">
        <v>41</v>
      </c>
      <c r="G9" s="2" t="s">
        <v>13</v>
      </c>
      <c r="H9" s="10">
        <v>760</v>
      </c>
    </row>
    <row r="10" spans="2:8">
      <c r="B10" s="1">
        <v>111107</v>
      </c>
      <c r="C10" s="2" t="s">
        <v>22</v>
      </c>
      <c r="D10" s="2" t="s">
        <v>23</v>
      </c>
      <c r="E10" s="3">
        <v>75000</v>
      </c>
      <c r="F10" s="5">
        <v>33</v>
      </c>
      <c r="G10" s="2" t="s">
        <v>10</v>
      </c>
      <c r="H10" s="10">
        <v>620</v>
      </c>
    </row>
    <row r="11" spans="2:8">
      <c r="B11" s="1">
        <v>111108</v>
      </c>
      <c r="C11" s="2" t="s">
        <v>24</v>
      </c>
      <c r="D11" s="2" t="s">
        <v>25</v>
      </c>
      <c r="E11" s="3">
        <v>100000</v>
      </c>
      <c r="F11" s="5">
        <v>47</v>
      </c>
      <c r="G11" s="2" t="s">
        <v>17</v>
      </c>
      <c r="H11" s="10">
        <v>700</v>
      </c>
    </row>
    <row r="12" spans="2:8">
      <c r="B12" s="1">
        <v>111109</v>
      </c>
      <c r="C12" s="2" t="s">
        <v>26</v>
      </c>
      <c r="D12" s="2" t="s">
        <v>27</v>
      </c>
      <c r="E12" s="3">
        <v>60000</v>
      </c>
      <c r="F12" s="5">
        <v>55</v>
      </c>
      <c r="G12" s="2" t="s">
        <v>10</v>
      </c>
      <c r="H12" s="10">
        <v>430</v>
      </c>
    </row>
    <row r="13" spans="2:8">
      <c r="B13" s="1">
        <v>111110</v>
      </c>
      <c r="C13" s="2" t="s">
        <v>28</v>
      </c>
      <c r="D13" s="2" t="s">
        <v>29</v>
      </c>
      <c r="E13" s="3">
        <v>80000</v>
      </c>
      <c r="F13" s="5">
        <v>36</v>
      </c>
      <c r="G13" s="2" t="s">
        <v>10</v>
      </c>
      <c r="H13" s="10">
        <v>670</v>
      </c>
    </row>
    <row r="14" spans="2:8">
      <c r="B14" s="1">
        <v>111111</v>
      </c>
      <c r="C14" s="2" t="s">
        <v>30</v>
      </c>
      <c r="D14" s="2" t="s">
        <v>15</v>
      </c>
      <c r="E14" s="3">
        <v>300000</v>
      </c>
      <c r="F14" s="5">
        <v>31</v>
      </c>
      <c r="G14" s="2" t="s">
        <v>10</v>
      </c>
      <c r="H14" s="10">
        <v>850</v>
      </c>
    </row>
    <row r="15" spans="2:8">
      <c r="B15" s="1">
        <v>111112</v>
      </c>
      <c r="C15" s="2" t="s">
        <v>31</v>
      </c>
      <c r="D15" s="2" t="s">
        <v>12</v>
      </c>
      <c r="E15" s="3">
        <v>180000</v>
      </c>
      <c r="F15" s="5">
        <v>43</v>
      </c>
      <c r="G15" s="2" t="s">
        <v>13</v>
      </c>
      <c r="H15" s="10">
        <v>720</v>
      </c>
    </row>
    <row r="16" spans="2:8">
      <c r="B16" s="1">
        <v>111113</v>
      </c>
      <c r="C16" s="2" t="s">
        <v>32</v>
      </c>
      <c r="D16" s="2" t="s">
        <v>33</v>
      </c>
      <c r="E16" s="3">
        <v>220000</v>
      </c>
      <c r="F16" s="5">
        <v>28</v>
      </c>
      <c r="G16" s="2" t="s">
        <v>10</v>
      </c>
      <c r="H16" s="10">
        <v>800</v>
      </c>
    </row>
    <row r="17" spans="2:8">
      <c r="B17" s="1">
        <v>111114</v>
      </c>
      <c r="C17" s="2" t="s">
        <v>34</v>
      </c>
      <c r="D17" s="2" t="s">
        <v>35</v>
      </c>
      <c r="E17" s="3">
        <v>130000</v>
      </c>
      <c r="F17" s="5">
        <v>50</v>
      </c>
      <c r="G17" s="2" t="s">
        <v>17</v>
      </c>
      <c r="H17" s="10">
        <v>640</v>
      </c>
    </row>
    <row r="18" spans="2:8">
      <c r="B18" s="1">
        <v>111115</v>
      </c>
      <c r="C18" s="2" t="s">
        <v>36</v>
      </c>
      <c r="D18" s="2" t="s">
        <v>37</v>
      </c>
      <c r="E18" s="3">
        <v>270000</v>
      </c>
      <c r="F18" s="5">
        <v>35</v>
      </c>
      <c r="G18" s="2" t="s">
        <v>10</v>
      </c>
      <c r="H18" s="10">
        <v>830</v>
      </c>
    </row>
    <row r="19" spans="2:8">
      <c r="B19" s="1">
        <v>111116</v>
      </c>
      <c r="C19" s="2" t="s">
        <v>38</v>
      </c>
      <c r="D19" s="2" t="s">
        <v>39</v>
      </c>
      <c r="E19" s="3">
        <v>90000</v>
      </c>
      <c r="F19" s="5">
        <v>48</v>
      </c>
      <c r="G19" s="2" t="s">
        <v>10</v>
      </c>
      <c r="H19" s="10">
        <v>560</v>
      </c>
    </row>
    <row r="20" spans="2:8">
      <c r="B20" s="1">
        <v>111117</v>
      </c>
      <c r="C20" s="2" t="s">
        <v>40</v>
      </c>
      <c r="D20" s="2" t="s">
        <v>41</v>
      </c>
      <c r="E20" s="3">
        <v>70000</v>
      </c>
      <c r="F20" s="5">
        <v>39</v>
      </c>
      <c r="G20" s="2" t="s">
        <v>17</v>
      </c>
      <c r="H20" s="10">
        <v>510</v>
      </c>
    </row>
    <row r="21" spans="2:8">
      <c r="B21" s="1">
        <v>111118</v>
      </c>
      <c r="C21" s="2" t="s">
        <v>42</v>
      </c>
      <c r="D21" s="2" t="s">
        <v>23</v>
      </c>
      <c r="E21" s="3">
        <v>160000</v>
      </c>
      <c r="F21" s="5">
        <v>32</v>
      </c>
      <c r="G21" s="2" t="s">
        <v>10</v>
      </c>
      <c r="H21" s="10">
        <v>750</v>
      </c>
    </row>
    <row r="22" spans="2:8">
      <c r="B22" s="1">
        <v>111119</v>
      </c>
      <c r="C22" s="2" t="s">
        <v>43</v>
      </c>
      <c r="D22" s="2" t="s">
        <v>33</v>
      </c>
      <c r="E22" s="3">
        <v>210000</v>
      </c>
      <c r="F22" s="5">
        <v>46</v>
      </c>
      <c r="G22" s="2" t="s">
        <v>13</v>
      </c>
      <c r="H22" s="10">
        <v>690</v>
      </c>
    </row>
    <row r="23" spans="2:8">
      <c r="B23" s="1">
        <v>111120</v>
      </c>
      <c r="C23" s="2" t="s">
        <v>44</v>
      </c>
      <c r="D23" s="2" t="s">
        <v>9</v>
      </c>
      <c r="E23" s="3">
        <v>140000</v>
      </c>
      <c r="F23" s="5">
        <v>37</v>
      </c>
      <c r="G23" s="2" t="s">
        <v>10</v>
      </c>
      <c r="H23" s="10">
        <v>730</v>
      </c>
    </row>
    <row r="24" spans="2:8">
      <c r="B24" s="1">
        <v>111121</v>
      </c>
      <c r="C24" s="2" t="s">
        <v>45</v>
      </c>
      <c r="D24" s="2" t="s">
        <v>46</v>
      </c>
      <c r="E24" s="3">
        <v>85000</v>
      </c>
      <c r="F24" s="5">
        <v>53</v>
      </c>
      <c r="G24" s="2" t="s">
        <v>17</v>
      </c>
      <c r="H24" s="10">
        <v>580</v>
      </c>
    </row>
    <row r="25" spans="2:8">
      <c r="B25" s="1">
        <v>111122</v>
      </c>
      <c r="C25" s="2" t="s">
        <v>47</v>
      </c>
      <c r="D25" s="2" t="s">
        <v>48</v>
      </c>
      <c r="E25" s="3">
        <v>65000</v>
      </c>
      <c r="F25" s="5">
        <v>29</v>
      </c>
      <c r="G25" s="2" t="s">
        <v>10</v>
      </c>
      <c r="H25" s="10">
        <v>620</v>
      </c>
    </row>
    <row r="26" spans="2:8">
      <c r="B26" s="1">
        <v>111123</v>
      </c>
      <c r="C26" s="2" t="s">
        <v>49</v>
      </c>
      <c r="D26" s="2" t="s">
        <v>50</v>
      </c>
      <c r="E26" s="3">
        <v>115000</v>
      </c>
      <c r="F26" s="5">
        <v>44</v>
      </c>
      <c r="G26" s="2" t="s">
        <v>13</v>
      </c>
      <c r="H26" s="10">
        <v>660</v>
      </c>
    </row>
    <row r="27" spans="2:8">
      <c r="B27" s="1">
        <v>111124</v>
      </c>
      <c r="C27" s="2" t="s">
        <v>51</v>
      </c>
      <c r="D27" s="2" t="s">
        <v>21</v>
      </c>
      <c r="E27" s="3">
        <v>195000</v>
      </c>
      <c r="F27" s="5">
        <v>30</v>
      </c>
      <c r="G27" s="2" t="s">
        <v>10</v>
      </c>
      <c r="H27" s="10">
        <v>790</v>
      </c>
    </row>
    <row r="28" spans="2:8">
      <c r="B28" s="1">
        <v>111125</v>
      </c>
      <c r="C28" s="2" t="s">
        <v>52</v>
      </c>
      <c r="D28" s="2" t="s">
        <v>53</v>
      </c>
      <c r="E28" s="3">
        <v>105000</v>
      </c>
      <c r="F28" s="5">
        <v>42</v>
      </c>
      <c r="G28" s="2" t="s">
        <v>17</v>
      </c>
      <c r="H28" s="10">
        <v>600</v>
      </c>
    </row>
    <row r="29" spans="2:8">
      <c r="B29" s="1">
        <v>111126</v>
      </c>
      <c r="C29" s="2" t="s">
        <v>54</v>
      </c>
      <c r="D29" s="2" t="s">
        <v>12</v>
      </c>
      <c r="E29" s="3">
        <v>230000</v>
      </c>
      <c r="F29" s="5">
        <v>27</v>
      </c>
      <c r="G29" s="2" t="s">
        <v>10</v>
      </c>
      <c r="H29" s="10">
        <v>810</v>
      </c>
    </row>
    <row r="30" spans="2:8">
      <c r="B30" s="1">
        <v>111127</v>
      </c>
      <c r="C30" s="2" t="s">
        <v>55</v>
      </c>
      <c r="D30" s="2" t="s">
        <v>56</v>
      </c>
      <c r="E30" s="3">
        <v>80000</v>
      </c>
      <c r="F30" s="5">
        <v>56</v>
      </c>
      <c r="G30" s="2" t="s">
        <v>13</v>
      </c>
      <c r="H30" s="10">
        <v>520</v>
      </c>
    </row>
    <row r="31" spans="2:8">
      <c r="B31" s="1">
        <v>111128</v>
      </c>
      <c r="C31" s="2" t="s">
        <v>57</v>
      </c>
      <c r="D31" s="2" t="s">
        <v>58</v>
      </c>
      <c r="E31" s="3">
        <v>170000</v>
      </c>
      <c r="F31" s="5">
        <v>33</v>
      </c>
      <c r="G31" s="2" t="s">
        <v>10</v>
      </c>
      <c r="H31" s="10">
        <v>760</v>
      </c>
    </row>
    <row r="32" spans="2:8">
      <c r="B32" s="1">
        <v>111129</v>
      </c>
      <c r="C32" s="2" t="s">
        <v>59</v>
      </c>
      <c r="D32" s="2" t="s">
        <v>60</v>
      </c>
      <c r="E32" s="3">
        <v>125000</v>
      </c>
      <c r="F32" s="5">
        <v>40</v>
      </c>
      <c r="G32" s="2" t="s">
        <v>17</v>
      </c>
      <c r="H32" s="10">
        <v>630</v>
      </c>
    </row>
    <row r="33" spans="2:8">
      <c r="B33" s="1">
        <v>111130</v>
      </c>
      <c r="C33" s="2" t="s">
        <v>61</v>
      </c>
      <c r="D33" s="2" t="s">
        <v>19</v>
      </c>
      <c r="E33" s="3">
        <v>55000</v>
      </c>
      <c r="F33" s="5">
        <v>49</v>
      </c>
      <c r="G33" s="2" t="s">
        <v>10</v>
      </c>
      <c r="H33" s="10">
        <v>460</v>
      </c>
    </row>
    <row r="34" spans="2:8">
      <c r="B34" s="1">
        <v>111131</v>
      </c>
      <c r="C34" s="2" t="s">
        <v>62</v>
      </c>
      <c r="D34" s="2" t="s">
        <v>63</v>
      </c>
      <c r="E34" s="3">
        <v>95000</v>
      </c>
      <c r="F34" s="5">
        <v>38</v>
      </c>
      <c r="G34" s="2" t="s">
        <v>13</v>
      </c>
      <c r="H34" s="10">
        <v>570</v>
      </c>
    </row>
    <row r="35" spans="2:8">
      <c r="B35" s="1">
        <v>111132</v>
      </c>
      <c r="C35" s="2" t="s">
        <v>64</v>
      </c>
      <c r="D35" s="2" t="s">
        <v>21</v>
      </c>
      <c r="E35" s="3">
        <v>145000</v>
      </c>
      <c r="F35" s="5">
        <v>31</v>
      </c>
      <c r="G35" s="2" t="s">
        <v>10</v>
      </c>
      <c r="H35" s="10">
        <v>710</v>
      </c>
    </row>
    <row r="36" spans="2:8">
      <c r="B36" s="1">
        <v>111133</v>
      </c>
      <c r="C36" s="2" t="s">
        <v>65</v>
      </c>
      <c r="D36" s="2" t="s">
        <v>66</v>
      </c>
      <c r="E36" s="3">
        <v>175000</v>
      </c>
      <c r="F36" s="5">
        <v>36</v>
      </c>
      <c r="G36" s="2" t="s">
        <v>10</v>
      </c>
      <c r="H36" s="10">
        <v>740</v>
      </c>
    </row>
    <row r="37" spans="2:8">
      <c r="B37" s="1">
        <v>111134</v>
      </c>
      <c r="C37" s="2" t="s">
        <v>67</v>
      </c>
      <c r="D37" s="2" t="s">
        <v>68</v>
      </c>
      <c r="E37" s="3">
        <v>120000</v>
      </c>
      <c r="F37" s="5">
        <v>45</v>
      </c>
      <c r="G37" s="2" t="s">
        <v>17</v>
      </c>
      <c r="H37" s="10">
        <v>650</v>
      </c>
    </row>
    <row r="38" spans="2:8">
      <c r="B38" s="1">
        <v>111135</v>
      </c>
      <c r="C38" s="2" t="s">
        <v>69</v>
      </c>
      <c r="D38" s="2" t="s">
        <v>29</v>
      </c>
      <c r="E38" s="3">
        <v>90000</v>
      </c>
      <c r="F38" s="5">
        <v>29</v>
      </c>
      <c r="G38" s="2" t="s">
        <v>10</v>
      </c>
      <c r="H38" s="10">
        <v>680</v>
      </c>
    </row>
    <row r="39" spans="2:8">
      <c r="B39" s="1">
        <v>111136</v>
      </c>
      <c r="C39" s="2" t="s">
        <v>70</v>
      </c>
      <c r="D39" s="2" t="s">
        <v>23</v>
      </c>
      <c r="E39" s="3">
        <v>200000</v>
      </c>
      <c r="F39" s="5">
        <v>41</v>
      </c>
      <c r="G39" s="2" t="s">
        <v>13</v>
      </c>
      <c r="H39" s="10">
        <v>770</v>
      </c>
    </row>
    <row r="40" spans="2:8">
      <c r="B40" s="1">
        <v>111137</v>
      </c>
      <c r="C40" s="2" t="s">
        <v>71</v>
      </c>
      <c r="D40" s="2" t="s">
        <v>37</v>
      </c>
      <c r="E40" s="3">
        <v>260000</v>
      </c>
      <c r="F40" s="5">
        <v>34</v>
      </c>
      <c r="G40" s="2" t="s">
        <v>10</v>
      </c>
      <c r="H40" s="10">
        <v>840</v>
      </c>
    </row>
    <row r="41" spans="2:8">
      <c r="B41" s="1">
        <v>111138</v>
      </c>
      <c r="C41" s="2" t="s">
        <v>72</v>
      </c>
      <c r="D41" s="2" t="s">
        <v>15</v>
      </c>
      <c r="E41" s="3">
        <v>110000</v>
      </c>
      <c r="F41" s="5">
        <v>52</v>
      </c>
      <c r="G41" s="2" t="s">
        <v>17</v>
      </c>
      <c r="H41" s="10">
        <v>590</v>
      </c>
    </row>
    <row r="42" spans="2:8">
      <c r="B42" s="1">
        <v>111139</v>
      </c>
      <c r="C42" s="2" t="s">
        <v>73</v>
      </c>
      <c r="D42" s="2" t="s">
        <v>35</v>
      </c>
      <c r="E42" s="3">
        <v>185000</v>
      </c>
      <c r="F42" s="5">
        <v>43</v>
      </c>
      <c r="G42" s="2" t="s">
        <v>10</v>
      </c>
      <c r="H42" s="10">
        <v>720</v>
      </c>
    </row>
    <row r="43" spans="2:8">
      <c r="B43" s="1">
        <v>111140</v>
      </c>
      <c r="C43" s="2" t="s">
        <v>74</v>
      </c>
      <c r="D43" s="2" t="s">
        <v>75</v>
      </c>
      <c r="E43" s="3">
        <v>155000</v>
      </c>
      <c r="F43" s="5">
        <v>30</v>
      </c>
      <c r="G43" s="2" t="s">
        <v>13</v>
      </c>
      <c r="H43" s="10">
        <v>690</v>
      </c>
    </row>
    <row r="44" spans="2:8">
      <c r="B44" s="1">
        <v>111141</v>
      </c>
      <c r="C44" s="2" t="s">
        <v>76</v>
      </c>
      <c r="D44" s="2" t="s">
        <v>39</v>
      </c>
      <c r="E44" s="3">
        <v>72000</v>
      </c>
      <c r="F44" s="5">
        <v>47</v>
      </c>
      <c r="G44" s="2" t="s">
        <v>10</v>
      </c>
      <c r="H44" s="10">
        <v>500</v>
      </c>
    </row>
    <row r="45" spans="2:8">
      <c r="B45" s="1">
        <v>111142</v>
      </c>
      <c r="C45" s="2" t="s">
        <v>77</v>
      </c>
      <c r="D45" s="2" t="s">
        <v>33</v>
      </c>
      <c r="E45" s="3">
        <v>135000</v>
      </c>
      <c r="F45" s="5">
        <v>38</v>
      </c>
      <c r="G45" s="2" t="s">
        <v>17</v>
      </c>
      <c r="H45" s="10">
        <v>640</v>
      </c>
    </row>
    <row r="46" spans="2:8">
      <c r="B46" s="1">
        <v>111143</v>
      </c>
      <c r="C46" s="2" t="s">
        <v>78</v>
      </c>
      <c r="D46" s="2" t="s">
        <v>48</v>
      </c>
      <c r="E46" s="3">
        <v>68000</v>
      </c>
      <c r="F46" s="5">
        <v>55</v>
      </c>
      <c r="G46" s="2" t="s">
        <v>10</v>
      </c>
      <c r="H46" s="10">
        <v>440</v>
      </c>
    </row>
    <row r="47" spans="2:8">
      <c r="B47" s="1">
        <v>111144</v>
      </c>
      <c r="C47" s="2" t="s">
        <v>79</v>
      </c>
      <c r="D47" s="2" t="s">
        <v>12</v>
      </c>
      <c r="E47" s="3">
        <v>215000</v>
      </c>
      <c r="F47" s="5">
        <v>32</v>
      </c>
      <c r="G47" s="2" t="s">
        <v>10</v>
      </c>
      <c r="H47" s="10">
        <v>800</v>
      </c>
    </row>
    <row r="48" spans="2:8">
      <c r="B48" s="1">
        <v>111145</v>
      </c>
      <c r="C48" s="2" t="s">
        <v>80</v>
      </c>
      <c r="D48" s="2" t="s">
        <v>25</v>
      </c>
      <c r="E48" s="3">
        <v>98000</v>
      </c>
      <c r="F48" s="5">
        <v>46</v>
      </c>
      <c r="G48" s="2" t="s">
        <v>13</v>
      </c>
      <c r="H48" s="10">
        <v>610</v>
      </c>
    </row>
    <row r="49" spans="2:8">
      <c r="B49" s="1">
        <v>111146</v>
      </c>
      <c r="C49" s="2" t="s">
        <v>81</v>
      </c>
      <c r="D49" s="2" t="s">
        <v>63</v>
      </c>
      <c r="E49" s="3">
        <v>62000</v>
      </c>
      <c r="F49" s="5">
        <v>51</v>
      </c>
      <c r="G49" s="2" t="s">
        <v>17</v>
      </c>
      <c r="H49" s="10">
        <v>470</v>
      </c>
    </row>
    <row r="50" spans="2:8">
      <c r="B50" s="1">
        <v>111147</v>
      </c>
      <c r="C50" s="2" t="s">
        <v>82</v>
      </c>
      <c r="D50" s="2" t="s">
        <v>9</v>
      </c>
      <c r="E50" s="3">
        <v>240000</v>
      </c>
      <c r="F50" s="5">
        <v>35</v>
      </c>
      <c r="G50" s="2" t="s">
        <v>10</v>
      </c>
      <c r="H50" s="10">
        <v>830</v>
      </c>
    </row>
    <row r="51" spans="2:8">
      <c r="B51" s="1">
        <v>111148</v>
      </c>
      <c r="C51" s="2" t="s">
        <v>83</v>
      </c>
      <c r="D51" s="2" t="s">
        <v>21</v>
      </c>
      <c r="E51" s="3">
        <v>132000</v>
      </c>
      <c r="F51" s="5">
        <v>28</v>
      </c>
      <c r="G51" s="2" t="s">
        <v>10</v>
      </c>
      <c r="H51" s="10">
        <v>760</v>
      </c>
    </row>
    <row r="52" spans="2:8">
      <c r="B52" s="1">
        <v>111149</v>
      </c>
      <c r="C52" s="2" t="s">
        <v>84</v>
      </c>
      <c r="D52" s="2" t="s">
        <v>85</v>
      </c>
      <c r="E52" s="3">
        <v>178000</v>
      </c>
      <c r="F52" s="5">
        <v>44</v>
      </c>
      <c r="G52" s="2" t="s">
        <v>13</v>
      </c>
      <c r="H52" s="10">
        <v>700</v>
      </c>
    </row>
    <row r="53" spans="2:8">
      <c r="B53" s="1">
        <v>111150</v>
      </c>
      <c r="C53" s="2" t="s">
        <v>86</v>
      </c>
      <c r="D53" s="2" t="s">
        <v>50</v>
      </c>
      <c r="E53" s="3">
        <v>82000</v>
      </c>
      <c r="F53" s="5">
        <v>39</v>
      </c>
      <c r="G53" s="2" t="s">
        <v>10</v>
      </c>
      <c r="H53" s="10">
        <v>550</v>
      </c>
    </row>
    <row r="54" spans="2:8">
      <c r="B54" s="1">
        <v>111151</v>
      </c>
      <c r="C54" s="2" t="s">
        <v>87</v>
      </c>
      <c r="D54" s="2" t="s">
        <v>75</v>
      </c>
      <c r="E54" s="3">
        <v>148000</v>
      </c>
      <c r="F54" s="5">
        <v>48</v>
      </c>
      <c r="G54" s="2" t="s">
        <v>17</v>
      </c>
      <c r="H54" s="10">
        <v>620</v>
      </c>
    </row>
    <row r="55" spans="2:8">
      <c r="B55" s="1">
        <v>111152</v>
      </c>
      <c r="C55" s="2" t="s">
        <v>88</v>
      </c>
      <c r="D55" s="2" t="s">
        <v>37</v>
      </c>
      <c r="E55" s="3">
        <v>290000</v>
      </c>
      <c r="F55" s="5">
        <v>26</v>
      </c>
      <c r="G55" s="2" t="s">
        <v>10</v>
      </c>
      <c r="H55" s="10">
        <v>860</v>
      </c>
    </row>
    <row r="56" spans="2:8">
      <c r="B56" s="1">
        <v>111153</v>
      </c>
      <c r="C56" s="2" t="s">
        <v>89</v>
      </c>
      <c r="D56" s="2" t="s">
        <v>90</v>
      </c>
      <c r="E56" s="3">
        <v>102000</v>
      </c>
      <c r="F56" s="5">
        <v>53</v>
      </c>
      <c r="G56" s="2" t="s">
        <v>13</v>
      </c>
      <c r="H56" s="10">
        <v>560</v>
      </c>
    </row>
    <row r="57" spans="2:8">
      <c r="B57" s="1">
        <v>111154</v>
      </c>
      <c r="C57" s="2" t="s">
        <v>91</v>
      </c>
      <c r="D57" s="2" t="s">
        <v>23</v>
      </c>
      <c r="E57" s="3">
        <v>168000</v>
      </c>
      <c r="F57" s="5">
        <v>37</v>
      </c>
      <c r="G57" s="2" t="s">
        <v>10</v>
      </c>
      <c r="H57" s="10">
        <v>740</v>
      </c>
    </row>
    <row r="58" spans="2:8">
      <c r="B58" s="1">
        <v>111155</v>
      </c>
      <c r="C58" s="2" t="s">
        <v>92</v>
      </c>
      <c r="D58" s="2" t="s">
        <v>46</v>
      </c>
      <c r="E58" s="3">
        <v>78000</v>
      </c>
      <c r="F58" s="5">
        <v>42</v>
      </c>
      <c r="G58" s="2" t="s">
        <v>17</v>
      </c>
      <c r="H58" s="10">
        <v>530</v>
      </c>
    </row>
    <row r="59" spans="2:8">
      <c r="B59" s="1">
        <v>111156</v>
      </c>
      <c r="C59" s="2" t="s">
        <v>93</v>
      </c>
      <c r="D59" s="2" t="s">
        <v>19</v>
      </c>
      <c r="E59" s="3">
        <v>52000</v>
      </c>
      <c r="F59" s="5">
        <v>58</v>
      </c>
      <c r="G59" s="2" t="s">
        <v>10</v>
      </c>
      <c r="H59" s="10">
        <v>410</v>
      </c>
    </row>
    <row r="60" spans="2:8">
      <c r="B60" s="1">
        <v>111157</v>
      </c>
      <c r="C60" s="2" t="s">
        <v>94</v>
      </c>
      <c r="D60" s="2" t="s">
        <v>66</v>
      </c>
      <c r="E60" s="3">
        <v>192000</v>
      </c>
      <c r="F60" s="5">
        <v>33</v>
      </c>
      <c r="G60" s="2" t="s">
        <v>13</v>
      </c>
      <c r="H60" s="10">
        <v>750</v>
      </c>
    </row>
    <row r="61" spans="2:8">
      <c r="B61" s="1">
        <v>111158</v>
      </c>
      <c r="C61" s="2" t="s">
        <v>95</v>
      </c>
      <c r="D61" s="2" t="s">
        <v>96</v>
      </c>
      <c r="E61" s="3">
        <v>118000</v>
      </c>
      <c r="F61" s="5">
        <v>40</v>
      </c>
      <c r="G61" s="2" t="s">
        <v>10</v>
      </c>
      <c r="H61" s="10">
        <v>670</v>
      </c>
    </row>
    <row r="62" spans="2:8">
      <c r="B62" s="1">
        <v>111159</v>
      </c>
      <c r="C62" s="2" t="s">
        <v>97</v>
      </c>
      <c r="D62" s="2" t="s">
        <v>53</v>
      </c>
      <c r="E62" s="3">
        <v>143000</v>
      </c>
      <c r="F62" s="5">
        <v>36</v>
      </c>
      <c r="G62" s="2" t="s">
        <v>17</v>
      </c>
      <c r="H62" s="10">
        <v>690</v>
      </c>
    </row>
    <row r="63" spans="2:8">
      <c r="B63" s="1">
        <v>111160</v>
      </c>
      <c r="C63" s="2" t="s">
        <v>98</v>
      </c>
      <c r="D63" s="2" t="s">
        <v>33</v>
      </c>
      <c r="E63" s="3">
        <v>225000</v>
      </c>
      <c r="F63" s="5">
        <v>29</v>
      </c>
      <c r="G63" s="2" t="s">
        <v>10</v>
      </c>
      <c r="H63" s="10">
        <v>820</v>
      </c>
    </row>
  </sheetData>
  <mergeCells count="1">
    <mergeCell ref="B2:H2"/>
  </mergeCells>
  <conditionalFormatting sqref="H4:H63">
    <cfRule type="cellIs" dxfId="17" priority="1" operator="between">
      <formula>300</formula>
      <formula>549</formula>
    </cfRule>
    <cfRule type="cellIs" dxfId="16" priority="2" operator="between">
      <formula>550</formula>
      <formula>649</formula>
    </cfRule>
    <cfRule type="cellIs" dxfId="15" priority="3" operator="between">
      <formula>650</formula>
      <formula>749</formula>
    </cfRule>
    <cfRule type="cellIs" dxfId="14" priority="4" operator="between">
      <formula>750</formula>
      <formula>900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7E57-9A82-4147-9F80-511EADA145D7}">
  <dimension ref="B2:K73"/>
  <sheetViews>
    <sheetView showGridLines="0" workbookViewId="0">
      <selection activeCell="B15" sqref="B15"/>
    </sheetView>
  </sheetViews>
  <sheetFormatPr defaultRowHeight="14.6"/>
  <cols>
    <col min="1" max="1" width="1.84375" customWidth="1"/>
    <col min="3" max="3" width="14.23046875" customWidth="1"/>
    <col min="4" max="4" width="13.3046875" customWidth="1"/>
    <col min="5" max="5" width="18.84375" customWidth="1"/>
    <col min="6" max="6" width="16" customWidth="1"/>
    <col min="7" max="7" width="17" customWidth="1"/>
    <col min="8" max="8" width="9.4609375" customWidth="1"/>
    <col min="9" max="9" width="12.69140625" customWidth="1"/>
    <col min="10" max="10" width="16.61328125" customWidth="1"/>
    <col min="11" max="11" width="12.61328125" bestFit="1" customWidth="1"/>
  </cols>
  <sheetData>
    <row r="2" spans="2:11" ht="16.3">
      <c r="B2" s="93" t="s">
        <v>99</v>
      </c>
      <c r="C2" s="94"/>
      <c r="D2" s="94"/>
      <c r="E2" s="94"/>
      <c r="F2" s="94"/>
      <c r="G2" s="94"/>
      <c r="H2" s="94"/>
      <c r="I2" s="94"/>
      <c r="J2" s="94"/>
      <c r="K2" s="94"/>
    </row>
    <row r="3" spans="2:11" ht="15" customHeight="1">
      <c r="B3" s="8" t="s">
        <v>100</v>
      </c>
      <c r="C3" s="8" t="s">
        <v>1</v>
      </c>
      <c r="D3" s="8" t="s">
        <v>101</v>
      </c>
      <c r="E3" s="8" t="s">
        <v>102</v>
      </c>
      <c r="F3" s="8" t="s">
        <v>103</v>
      </c>
      <c r="G3" s="8" t="s">
        <v>104</v>
      </c>
      <c r="H3" s="8" t="s">
        <v>105</v>
      </c>
      <c r="I3" s="8" t="s">
        <v>106</v>
      </c>
      <c r="J3" s="8" t="s">
        <v>107</v>
      </c>
      <c r="K3" s="8" t="s">
        <v>142</v>
      </c>
    </row>
    <row r="4" spans="2:11">
      <c r="B4" s="1">
        <v>2001001</v>
      </c>
      <c r="C4" s="1">
        <v>111101</v>
      </c>
      <c r="D4" s="2" t="s">
        <v>108</v>
      </c>
      <c r="E4" s="3">
        <v>2000000</v>
      </c>
      <c r="F4" s="4">
        <v>7.5</v>
      </c>
      <c r="G4" s="5">
        <v>240</v>
      </c>
      <c r="H4" s="6" t="s">
        <v>109</v>
      </c>
      <c r="I4" s="7">
        <v>44888</v>
      </c>
      <c r="J4" s="9">
        <f>ROUND(PMT(F4/12/100, G4, -E4), 0)</f>
        <v>16112</v>
      </c>
      <c r="K4" s="11">
        <f>VLOOKUP(C4,Customers!$B4:$H4,7,0)</f>
        <v>780</v>
      </c>
    </row>
    <row r="5" spans="2:11">
      <c r="B5" s="1">
        <v>2001002</v>
      </c>
      <c r="C5" s="1">
        <v>111102</v>
      </c>
      <c r="D5" s="2" t="s">
        <v>110</v>
      </c>
      <c r="E5" s="3">
        <v>1800000</v>
      </c>
      <c r="F5" s="4">
        <v>8.1</v>
      </c>
      <c r="G5" s="5">
        <v>180</v>
      </c>
      <c r="H5" s="6" t="s">
        <v>109</v>
      </c>
      <c r="I5" s="7">
        <v>43570</v>
      </c>
      <c r="J5" s="9">
        <f t="shared" ref="J5:J68" si="0">ROUND(PMT(F5/12/100, G5, -E5), 0)</f>
        <v>17306</v>
      </c>
      <c r="K5" s="11">
        <f>VLOOKUP(C5,Customers!$B5:$H5,7,0)</f>
        <v>650</v>
      </c>
    </row>
    <row r="6" spans="2:11">
      <c r="B6" s="1">
        <v>2001003</v>
      </c>
      <c r="C6" s="1">
        <v>111103</v>
      </c>
      <c r="D6" s="2" t="s">
        <v>108</v>
      </c>
      <c r="E6" s="3">
        <v>2500000</v>
      </c>
      <c r="F6" s="4">
        <v>7</v>
      </c>
      <c r="G6" s="5">
        <v>300</v>
      </c>
      <c r="H6" s="6" t="s">
        <v>109</v>
      </c>
      <c r="I6" s="7">
        <v>44062</v>
      </c>
      <c r="J6" s="9">
        <f t="shared" si="0"/>
        <v>17669</v>
      </c>
      <c r="K6" s="11">
        <f>VLOOKUP(C6,Customers!$B6:$H6,7,0)</f>
        <v>820</v>
      </c>
    </row>
    <row r="7" spans="2:11">
      <c r="B7" s="1">
        <v>2001004</v>
      </c>
      <c r="C7" s="1">
        <v>111104</v>
      </c>
      <c r="D7" s="2" t="s">
        <v>111</v>
      </c>
      <c r="E7" s="3">
        <v>1200000</v>
      </c>
      <c r="F7" s="4">
        <v>8.1999999999999993</v>
      </c>
      <c r="G7" s="5">
        <v>120</v>
      </c>
      <c r="H7" s="6" t="s">
        <v>112</v>
      </c>
      <c r="I7" s="7">
        <v>43240</v>
      </c>
      <c r="J7" s="9">
        <f t="shared" si="0"/>
        <v>14686</v>
      </c>
      <c r="K7" s="11">
        <f>VLOOKUP(C7,Customers!$B7:$H7,7,0)</f>
        <v>590</v>
      </c>
    </row>
    <row r="8" spans="2:11">
      <c r="B8" s="1">
        <v>2001005</v>
      </c>
      <c r="C8" s="1">
        <v>111105</v>
      </c>
      <c r="D8" s="2" t="s">
        <v>111</v>
      </c>
      <c r="E8" s="3">
        <v>500000</v>
      </c>
      <c r="F8" s="4">
        <v>12.5</v>
      </c>
      <c r="G8" s="5">
        <v>60</v>
      </c>
      <c r="H8" s="6" t="s">
        <v>112</v>
      </c>
      <c r="I8" s="7">
        <v>42747</v>
      </c>
      <c r="J8" s="9">
        <f t="shared" si="0"/>
        <v>11249</v>
      </c>
      <c r="K8" s="11">
        <f>VLOOKUP(C8,Customers!$B8:$H8,7,0)</f>
        <v>480</v>
      </c>
    </row>
    <row r="9" spans="2:11">
      <c r="B9" s="1">
        <v>2001006</v>
      </c>
      <c r="C9" s="1">
        <v>111106</v>
      </c>
      <c r="D9" s="2" t="s">
        <v>110</v>
      </c>
      <c r="E9" s="3">
        <v>3000000</v>
      </c>
      <c r="F9" s="4">
        <v>7.7</v>
      </c>
      <c r="G9" s="5">
        <v>240</v>
      </c>
      <c r="H9" s="6" t="s">
        <v>109</v>
      </c>
      <c r="I9" s="7">
        <v>42301</v>
      </c>
      <c r="J9" s="9">
        <f t="shared" si="0"/>
        <v>24536</v>
      </c>
      <c r="K9" s="11">
        <f>VLOOKUP(C9,Customers!$B9:$H9,7,0)</f>
        <v>760</v>
      </c>
    </row>
    <row r="10" spans="2:11">
      <c r="B10" s="1">
        <v>2001007</v>
      </c>
      <c r="C10" s="1">
        <v>111107</v>
      </c>
      <c r="D10" s="2" t="s">
        <v>113</v>
      </c>
      <c r="E10" s="3">
        <v>650000</v>
      </c>
      <c r="F10" s="4">
        <v>14.5</v>
      </c>
      <c r="G10" s="5">
        <v>72</v>
      </c>
      <c r="H10" s="6" t="s">
        <v>109</v>
      </c>
      <c r="I10" s="7">
        <v>44424</v>
      </c>
      <c r="J10" s="9">
        <f t="shared" si="0"/>
        <v>13568</v>
      </c>
      <c r="K10" s="11">
        <f>VLOOKUP(C10,Customers!$B10:$H10,7,0)</f>
        <v>620</v>
      </c>
    </row>
    <row r="11" spans="2:11">
      <c r="B11" s="1">
        <v>2001008</v>
      </c>
      <c r="C11" s="1">
        <v>111108</v>
      </c>
      <c r="D11" s="2" t="s">
        <v>108</v>
      </c>
      <c r="E11" s="3">
        <v>1000000</v>
      </c>
      <c r="F11" s="4">
        <v>9.5</v>
      </c>
      <c r="G11" s="5">
        <v>180</v>
      </c>
      <c r="H11" s="6" t="s">
        <v>109</v>
      </c>
      <c r="I11" s="7">
        <v>45191</v>
      </c>
      <c r="J11" s="9">
        <f t="shared" si="0"/>
        <v>10442</v>
      </c>
      <c r="K11" s="11">
        <f>VLOOKUP(C11,Customers!$B11:$H11,7,0)</f>
        <v>700</v>
      </c>
    </row>
    <row r="12" spans="2:11">
      <c r="B12" s="1">
        <v>2001009</v>
      </c>
      <c r="C12" s="1">
        <v>111109</v>
      </c>
      <c r="D12" s="2" t="s">
        <v>111</v>
      </c>
      <c r="E12" s="3">
        <v>700000</v>
      </c>
      <c r="F12" s="4">
        <v>15.5</v>
      </c>
      <c r="G12" s="5">
        <v>60</v>
      </c>
      <c r="H12" s="6" t="s">
        <v>112</v>
      </c>
      <c r="I12" s="7">
        <v>43157</v>
      </c>
      <c r="J12" s="9">
        <f t="shared" si="0"/>
        <v>16837</v>
      </c>
      <c r="K12" s="11">
        <f>VLOOKUP(C12,Customers!$B12:$H12,7,0)</f>
        <v>430</v>
      </c>
    </row>
    <row r="13" spans="2:11">
      <c r="B13" s="1">
        <v>2001010</v>
      </c>
      <c r="C13" s="1">
        <v>111110</v>
      </c>
      <c r="D13" s="2" t="s">
        <v>114</v>
      </c>
      <c r="E13" s="3">
        <v>300000</v>
      </c>
      <c r="F13" s="4">
        <v>11.5</v>
      </c>
      <c r="G13" s="5">
        <v>84</v>
      </c>
      <c r="H13" s="6" t="s">
        <v>115</v>
      </c>
      <c r="I13" s="7">
        <v>42719</v>
      </c>
      <c r="J13" s="9">
        <f t="shared" si="0"/>
        <v>5216</v>
      </c>
      <c r="K13" s="11">
        <f>VLOOKUP(C13,Customers!$B13:$H13,7,0)</f>
        <v>670</v>
      </c>
    </row>
    <row r="14" spans="2:11">
      <c r="B14" s="1">
        <v>2001011</v>
      </c>
      <c r="C14" s="1">
        <v>111111</v>
      </c>
      <c r="D14" s="2" t="s">
        <v>108</v>
      </c>
      <c r="E14" s="3">
        <v>3500000</v>
      </c>
      <c r="F14" s="4">
        <v>6.9</v>
      </c>
      <c r="G14" s="5">
        <v>300</v>
      </c>
      <c r="H14" s="6" t="s">
        <v>109</v>
      </c>
      <c r="I14" s="7">
        <v>44357</v>
      </c>
      <c r="J14" s="9">
        <f t="shared" si="0"/>
        <v>24514</v>
      </c>
      <c r="K14" s="11">
        <f>VLOOKUP(C14,Customers!$B14:$H14,7,0)</f>
        <v>850</v>
      </c>
    </row>
    <row r="15" spans="2:11">
      <c r="B15" s="1">
        <v>2001012</v>
      </c>
      <c r="C15" s="1">
        <v>111112</v>
      </c>
      <c r="D15" s="2" t="s">
        <v>110</v>
      </c>
      <c r="E15" s="3">
        <v>2200000</v>
      </c>
      <c r="F15" s="4">
        <v>8.5</v>
      </c>
      <c r="G15" s="5">
        <v>180</v>
      </c>
      <c r="H15" s="6" t="s">
        <v>109</v>
      </c>
      <c r="I15" s="7">
        <v>43912</v>
      </c>
      <c r="J15" s="9">
        <f t="shared" si="0"/>
        <v>21664</v>
      </c>
      <c r="K15" s="11">
        <f>VLOOKUP(C15,Customers!$B15:$H15,7,0)</f>
        <v>720</v>
      </c>
    </row>
    <row r="16" spans="2:11">
      <c r="B16" s="1">
        <v>2001013</v>
      </c>
      <c r="C16" s="1">
        <v>111113</v>
      </c>
      <c r="D16" s="2" t="s">
        <v>108</v>
      </c>
      <c r="E16" s="3">
        <v>2800000</v>
      </c>
      <c r="F16" s="4">
        <v>7.2</v>
      </c>
      <c r="G16" s="5">
        <v>240</v>
      </c>
      <c r="H16" s="6" t="s">
        <v>109</v>
      </c>
      <c r="I16" s="7">
        <v>43774</v>
      </c>
      <c r="J16" s="9">
        <f t="shared" si="0"/>
        <v>22046</v>
      </c>
      <c r="K16" s="11">
        <f>VLOOKUP(C16,Customers!$B16:$H16,7,0)</f>
        <v>800</v>
      </c>
    </row>
    <row r="17" spans="2:11">
      <c r="B17" s="1">
        <v>2001014</v>
      </c>
      <c r="C17" s="1">
        <v>111114</v>
      </c>
      <c r="D17" s="2" t="s">
        <v>113</v>
      </c>
      <c r="E17" s="3">
        <v>800000</v>
      </c>
      <c r="F17" s="4">
        <v>10.5</v>
      </c>
      <c r="G17" s="5">
        <v>84</v>
      </c>
      <c r="H17" s="6" t="s">
        <v>109</v>
      </c>
      <c r="I17" s="7">
        <v>44760</v>
      </c>
      <c r="J17" s="9">
        <f t="shared" si="0"/>
        <v>13489</v>
      </c>
      <c r="K17" s="11">
        <f>VLOOKUP(C17,Customers!$B17:$H17,7,0)</f>
        <v>640</v>
      </c>
    </row>
    <row r="18" spans="2:11">
      <c r="B18" s="1">
        <v>2001015</v>
      </c>
      <c r="C18" s="1">
        <v>111115</v>
      </c>
      <c r="D18" s="2" t="s">
        <v>108</v>
      </c>
      <c r="E18" s="3">
        <v>3200000</v>
      </c>
      <c r="F18" s="4">
        <v>7</v>
      </c>
      <c r="G18" s="5">
        <v>300</v>
      </c>
      <c r="H18" s="6" t="s">
        <v>109</v>
      </c>
      <c r="I18" s="7">
        <v>44255</v>
      </c>
      <c r="J18" s="9">
        <f t="shared" si="0"/>
        <v>22617</v>
      </c>
      <c r="K18" s="11">
        <f>VLOOKUP(C18,Customers!$B18:$H18,7,0)</f>
        <v>830</v>
      </c>
    </row>
    <row r="19" spans="2:11">
      <c r="B19" s="1">
        <v>2001016</v>
      </c>
      <c r="C19" s="1">
        <v>111116</v>
      </c>
      <c r="D19" s="2" t="s">
        <v>111</v>
      </c>
      <c r="E19" s="3">
        <v>450000</v>
      </c>
      <c r="F19" s="4">
        <v>13.5</v>
      </c>
      <c r="G19" s="5">
        <v>60</v>
      </c>
      <c r="H19" s="6" t="s">
        <v>112</v>
      </c>
      <c r="I19" s="7">
        <v>43691</v>
      </c>
      <c r="J19" s="9">
        <f t="shared" si="0"/>
        <v>10354</v>
      </c>
      <c r="K19" s="11">
        <f>VLOOKUP(C19,Customers!$B19:$H19,7,0)</f>
        <v>560</v>
      </c>
    </row>
    <row r="20" spans="2:11">
      <c r="B20" s="1">
        <v>2001017</v>
      </c>
      <c r="C20" s="1">
        <v>111117</v>
      </c>
      <c r="D20" s="2" t="s">
        <v>113</v>
      </c>
      <c r="E20" s="3">
        <v>580000</v>
      </c>
      <c r="F20" s="4">
        <v>15</v>
      </c>
      <c r="G20" s="5">
        <v>48</v>
      </c>
      <c r="H20" s="6" t="s">
        <v>112</v>
      </c>
      <c r="I20" s="7">
        <v>43240</v>
      </c>
      <c r="J20" s="9">
        <f t="shared" si="0"/>
        <v>16142</v>
      </c>
      <c r="K20" s="11">
        <f>VLOOKUP(C20,Customers!$B20:$H20,7,0)</f>
        <v>510</v>
      </c>
    </row>
    <row r="21" spans="2:11">
      <c r="B21" s="1">
        <v>2001018</v>
      </c>
      <c r="C21" s="1">
        <v>111118</v>
      </c>
      <c r="D21" s="2" t="s">
        <v>108</v>
      </c>
      <c r="E21" s="3">
        <v>1600000</v>
      </c>
      <c r="F21" s="4">
        <v>7.8</v>
      </c>
      <c r="G21" s="5">
        <v>240</v>
      </c>
      <c r="H21" s="6" t="s">
        <v>109</v>
      </c>
      <c r="I21" s="7">
        <v>44591</v>
      </c>
      <c r="J21" s="9">
        <f t="shared" si="0"/>
        <v>13185</v>
      </c>
      <c r="K21" s="11">
        <f>VLOOKUP(C21,Customers!$B21:$H21,7,0)</f>
        <v>750</v>
      </c>
    </row>
    <row r="22" spans="2:11">
      <c r="B22" s="1">
        <v>2001019</v>
      </c>
      <c r="C22" s="1">
        <v>111119</v>
      </c>
      <c r="D22" s="2" t="s">
        <v>110</v>
      </c>
      <c r="E22" s="3">
        <v>2500000</v>
      </c>
      <c r="F22" s="4">
        <v>8.1999999999999993</v>
      </c>
      <c r="G22" s="5">
        <v>180</v>
      </c>
      <c r="H22" s="6" t="s">
        <v>109</v>
      </c>
      <c r="I22" s="7">
        <v>44086</v>
      </c>
      <c r="J22" s="9">
        <f t="shared" si="0"/>
        <v>24181</v>
      </c>
      <c r="K22" s="11">
        <f>VLOOKUP(C22,Customers!$B22:$H22,7,0)</f>
        <v>690</v>
      </c>
    </row>
    <row r="23" spans="2:11">
      <c r="B23" s="1">
        <v>2001020</v>
      </c>
      <c r="C23" s="1">
        <v>111120</v>
      </c>
      <c r="D23" s="2" t="s">
        <v>113</v>
      </c>
      <c r="E23" s="3">
        <v>750000</v>
      </c>
      <c r="F23" s="4">
        <v>9.8000000000000007</v>
      </c>
      <c r="G23" s="5">
        <v>72</v>
      </c>
      <c r="H23" s="6" t="s">
        <v>109</v>
      </c>
      <c r="I23" s="7">
        <v>45000</v>
      </c>
      <c r="J23" s="9">
        <f t="shared" si="0"/>
        <v>13819</v>
      </c>
      <c r="K23" s="11">
        <f>VLOOKUP(C23,Customers!$B23:$H23,7,0)</f>
        <v>730</v>
      </c>
    </row>
    <row r="24" spans="2:11">
      <c r="B24" s="1">
        <v>2001021</v>
      </c>
      <c r="C24" s="1">
        <v>111121</v>
      </c>
      <c r="D24" s="2" t="s">
        <v>114</v>
      </c>
      <c r="E24" s="3">
        <v>1020000</v>
      </c>
      <c r="F24" s="4">
        <v>14</v>
      </c>
      <c r="G24" s="5">
        <v>48</v>
      </c>
      <c r="H24" s="6" t="s">
        <v>112</v>
      </c>
      <c r="I24" s="7">
        <v>43426</v>
      </c>
      <c r="J24" s="9">
        <f t="shared" si="0"/>
        <v>27873</v>
      </c>
      <c r="K24" s="11">
        <f>VLOOKUP(C24,Customers!$B24:$H24,7,0)</f>
        <v>580</v>
      </c>
    </row>
    <row r="25" spans="2:11">
      <c r="B25" s="1">
        <v>2001022</v>
      </c>
      <c r="C25" s="1">
        <v>111122</v>
      </c>
      <c r="D25" s="2" t="s">
        <v>114</v>
      </c>
      <c r="E25" s="3">
        <v>250000</v>
      </c>
      <c r="F25" s="4">
        <v>10.5</v>
      </c>
      <c r="G25" s="5">
        <v>84</v>
      </c>
      <c r="H25" s="6" t="s">
        <v>109</v>
      </c>
      <c r="I25" s="7">
        <v>44385</v>
      </c>
      <c r="J25" s="9">
        <f t="shared" si="0"/>
        <v>4215</v>
      </c>
      <c r="K25" s="11">
        <f>VLOOKUP(C25,Customers!$B25:$H25,7,0)</f>
        <v>620</v>
      </c>
    </row>
    <row r="26" spans="2:11">
      <c r="B26" s="1">
        <v>2001023</v>
      </c>
      <c r="C26" s="1">
        <v>111123</v>
      </c>
      <c r="D26" s="2" t="s">
        <v>110</v>
      </c>
      <c r="E26" s="3">
        <v>1100000</v>
      </c>
      <c r="F26" s="4">
        <v>9</v>
      </c>
      <c r="G26" s="5">
        <v>120</v>
      </c>
      <c r="H26" s="6" t="s">
        <v>109</v>
      </c>
      <c r="I26" s="7">
        <v>43946</v>
      </c>
      <c r="J26" s="9">
        <f t="shared" si="0"/>
        <v>13934</v>
      </c>
      <c r="K26" s="11">
        <f>VLOOKUP(C26,Customers!$B26:$H26,7,0)</f>
        <v>660</v>
      </c>
    </row>
    <row r="27" spans="2:11">
      <c r="B27" s="1">
        <v>2001024</v>
      </c>
      <c r="C27" s="1">
        <v>111124</v>
      </c>
      <c r="D27" s="2" t="s">
        <v>108</v>
      </c>
      <c r="E27" s="3">
        <v>1900000</v>
      </c>
      <c r="F27" s="4">
        <v>7.5</v>
      </c>
      <c r="G27" s="5">
        <v>240</v>
      </c>
      <c r="H27" s="6" t="s">
        <v>109</v>
      </c>
      <c r="I27" s="7">
        <v>44730</v>
      </c>
      <c r="J27" s="9">
        <f t="shared" si="0"/>
        <v>15306</v>
      </c>
      <c r="K27" s="11">
        <f>VLOOKUP(C27,Customers!$B27:$H27,7,0)</f>
        <v>790</v>
      </c>
    </row>
    <row r="28" spans="2:11">
      <c r="B28" s="1">
        <v>2001025</v>
      </c>
      <c r="C28" s="1">
        <v>111125</v>
      </c>
      <c r="D28" s="2" t="s">
        <v>113</v>
      </c>
      <c r="E28" s="3">
        <v>600000</v>
      </c>
      <c r="F28" s="4">
        <v>11</v>
      </c>
      <c r="G28" s="5">
        <v>72</v>
      </c>
      <c r="H28" s="6" t="s">
        <v>109</v>
      </c>
      <c r="I28" s="7">
        <v>44499</v>
      </c>
      <c r="J28" s="9">
        <f t="shared" si="0"/>
        <v>11420</v>
      </c>
      <c r="K28" s="11">
        <f>VLOOKUP(C28,Customers!$B28:$H28,7,0)</f>
        <v>600</v>
      </c>
    </row>
    <row r="29" spans="2:11">
      <c r="B29" s="1">
        <v>2001026</v>
      </c>
      <c r="C29" s="1">
        <v>111126</v>
      </c>
      <c r="D29" s="2" t="s">
        <v>108</v>
      </c>
      <c r="E29" s="3">
        <v>2700000</v>
      </c>
      <c r="F29" s="4">
        <v>7.1</v>
      </c>
      <c r="G29" s="5">
        <v>300</v>
      </c>
      <c r="H29" s="6" t="s">
        <v>109</v>
      </c>
      <c r="I29" s="7">
        <v>44270</v>
      </c>
      <c r="J29" s="9">
        <f t="shared" si="0"/>
        <v>19256</v>
      </c>
      <c r="K29" s="11">
        <f>VLOOKUP(C29,Customers!$B29:$H29,7,0)</f>
        <v>810</v>
      </c>
    </row>
    <row r="30" spans="2:11">
      <c r="B30" s="1">
        <v>2001027</v>
      </c>
      <c r="C30" s="1">
        <v>111127</v>
      </c>
      <c r="D30" s="2" t="s">
        <v>110</v>
      </c>
      <c r="E30" s="3">
        <v>900000</v>
      </c>
      <c r="F30" s="4">
        <v>12</v>
      </c>
      <c r="G30" s="5">
        <v>120</v>
      </c>
      <c r="H30" s="6" t="s">
        <v>112</v>
      </c>
      <c r="I30" s="7">
        <v>43666</v>
      </c>
      <c r="J30" s="9">
        <f t="shared" si="0"/>
        <v>12912</v>
      </c>
      <c r="K30" s="11">
        <f>VLOOKUP(C30,Customers!$B30:$H30,7,0)</f>
        <v>520</v>
      </c>
    </row>
    <row r="31" spans="2:11">
      <c r="B31" s="1">
        <v>2001028</v>
      </c>
      <c r="C31" s="1">
        <v>111128</v>
      </c>
      <c r="D31" s="2" t="s">
        <v>108</v>
      </c>
      <c r="E31" s="3">
        <v>1700000</v>
      </c>
      <c r="F31" s="4">
        <v>7.6</v>
      </c>
      <c r="G31" s="5">
        <v>240</v>
      </c>
      <c r="H31" s="6" t="s">
        <v>109</v>
      </c>
      <c r="I31" s="7">
        <v>44778</v>
      </c>
      <c r="J31" s="9">
        <f t="shared" si="0"/>
        <v>13799</v>
      </c>
      <c r="K31" s="11">
        <f>VLOOKUP(C31,Customers!$B31:$H31,7,0)</f>
        <v>760</v>
      </c>
    </row>
    <row r="32" spans="2:11">
      <c r="B32" s="1">
        <v>2001029</v>
      </c>
      <c r="C32" s="1">
        <v>111129</v>
      </c>
      <c r="D32" s="2" t="s">
        <v>111</v>
      </c>
      <c r="E32" s="3">
        <v>550000</v>
      </c>
      <c r="F32" s="4">
        <v>13</v>
      </c>
      <c r="G32" s="5">
        <v>60</v>
      </c>
      <c r="H32" s="6" t="s">
        <v>109</v>
      </c>
      <c r="I32" s="7">
        <v>44944</v>
      </c>
      <c r="J32" s="9">
        <f t="shared" si="0"/>
        <v>12514</v>
      </c>
      <c r="K32" s="11">
        <f>VLOOKUP(C32,Customers!$B32:$H32,7,0)</f>
        <v>630</v>
      </c>
    </row>
    <row r="33" spans="2:11">
      <c r="B33" s="1">
        <v>2001030</v>
      </c>
      <c r="C33" s="1">
        <v>111130</v>
      </c>
      <c r="D33" s="2" t="s">
        <v>111</v>
      </c>
      <c r="E33" s="3">
        <v>280000</v>
      </c>
      <c r="F33" s="4">
        <v>14.5</v>
      </c>
      <c r="G33" s="5">
        <v>48</v>
      </c>
      <c r="H33" s="6" t="s">
        <v>112</v>
      </c>
      <c r="I33" s="7">
        <v>42988</v>
      </c>
      <c r="J33" s="9">
        <f t="shared" si="0"/>
        <v>7722</v>
      </c>
      <c r="K33" s="11">
        <f>VLOOKUP(C33,Customers!$B33:$H33,7,0)</f>
        <v>460</v>
      </c>
    </row>
    <row r="34" spans="2:11">
      <c r="B34" s="1">
        <v>2001031</v>
      </c>
      <c r="C34" s="1">
        <v>111131</v>
      </c>
      <c r="D34" s="2" t="s">
        <v>110</v>
      </c>
      <c r="E34" s="3">
        <v>750000</v>
      </c>
      <c r="F34" s="4">
        <v>11.5</v>
      </c>
      <c r="G34" s="5">
        <v>96</v>
      </c>
      <c r="H34" s="6" t="s">
        <v>112</v>
      </c>
      <c r="I34" s="7">
        <v>43177</v>
      </c>
      <c r="J34" s="9">
        <f t="shared" si="0"/>
        <v>11985</v>
      </c>
      <c r="K34" s="11">
        <f>VLOOKUP(C34,Customers!$B34:$H34,7,0)</f>
        <v>570</v>
      </c>
    </row>
    <row r="35" spans="2:11">
      <c r="B35" s="1">
        <v>2001032</v>
      </c>
      <c r="C35" s="1">
        <v>111132</v>
      </c>
      <c r="D35" s="2" t="s">
        <v>108</v>
      </c>
      <c r="E35" s="3">
        <v>1450000</v>
      </c>
      <c r="F35" s="4">
        <v>7.9</v>
      </c>
      <c r="G35" s="5">
        <v>240</v>
      </c>
      <c r="H35" s="6" t="s">
        <v>109</v>
      </c>
      <c r="I35" s="7">
        <v>44663</v>
      </c>
      <c r="J35" s="9">
        <f t="shared" si="0"/>
        <v>12038</v>
      </c>
      <c r="K35" s="11">
        <f>VLOOKUP(C35,Customers!$B35:$H35,7,0)</f>
        <v>710</v>
      </c>
    </row>
    <row r="36" spans="2:11">
      <c r="B36" s="1">
        <v>2001033</v>
      </c>
      <c r="C36" s="1">
        <v>111133</v>
      </c>
      <c r="D36" s="2" t="s">
        <v>108</v>
      </c>
      <c r="E36" s="3">
        <v>1750000</v>
      </c>
      <c r="F36" s="4">
        <v>7.6</v>
      </c>
      <c r="G36" s="5">
        <v>240</v>
      </c>
      <c r="H36" s="6" t="s">
        <v>109</v>
      </c>
      <c r="I36" s="7">
        <v>44520</v>
      </c>
      <c r="J36" s="9">
        <f t="shared" si="0"/>
        <v>14205</v>
      </c>
      <c r="K36" s="11">
        <f>VLOOKUP(C36,Customers!$B36:$H36,7,0)</f>
        <v>740</v>
      </c>
    </row>
    <row r="37" spans="2:11">
      <c r="B37" s="1">
        <v>2001034</v>
      </c>
      <c r="C37" s="1">
        <v>111134</v>
      </c>
      <c r="D37" s="2" t="s">
        <v>113</v>
      </c>
      <c r="E37" s="3">
        <v>700000</v>
      </c>
      <c r="F37" s="4">
        <v>10</v>
      </c>
      <c r="G37" s="5">
        <v>72</v>
      </c>
      <c r="H37" s="6" t="s">
        <v>115</v>
      </c>
      <c r="I37" s="7">
        <v>43641</v>
      </c>
      <c r="J37" s="9">
        <f t="shared" si="0"/>
        <v>12968</v>
      </c>
      <c r="K37" s="11">
        <f>VLOOKUP(C37,Customers!$B37:$H37,7,0)</f>
        <v>650</v>
      </c>
    </row>
    <row r="38" spans="2:11">
      <c r="B38" s="1">
        <v>2001035</v>
      </c>
      <c r="C38" s="1">
        <v>111135</v>
      </c>
      <c r="D38" s="2" t="s">
        <v>114</v>
      </c>
      <c r="E38" s="3">
        <v>350000</v>
      </c>
      <c r="F38" s="4">
        <v>10</v>
      </c>
      <c r="G38" s="5">
        <v>84</v>
      </c>
      <c r="H38" s="6" t="s">
        <v>109</v>
      </c>
      <c r="I38" s="7">
        <v>44818</v>
      </c>
      <c r="J38" s="9">
        <f t="shared" si="0"/>
        <v>5810</v>
      </c>
      <c r="K38" s="11">
        <f>VLOOKUP(C38,Customers!$B38:$H38,7,0)</f>
        <v>680</v>
      </c>
    </row>
    <row r="39" spans="2:11">
      <c r="B39" s="1">
        <v>2001036</v>
      </c>
      <c r="C39" s="1">
        <v>111136</v>
      </c>
      <c r="D39" s="2" t="s">
        <v>110</v>
      </c>
      <c r="E39" s="3">
        <v>2000000</v>
      </c>
      <c r="F39" s="4">
        <v>8.3000000000000007</v>
      </c>
      <c r="G39" s="5">
        <v>180</v>
      </c>
      <c r="H39" s="6" t="s">
        <v>109</v>
      </c>
      <c r="I39" s="7">
        <v>44143</v>
      </c>
      <c r="J39" s="9">
        <f t="shared" si="0"/>
        <v>19461</v>
      </c>
      <c r="K39" s="11">
        <f>VLOOKUP(C39,Customers!$B39:$H39,7,0)</f>
        <v>770</v>
      </c>
    </row>
    <row r="40" spans="2:11">
      <c r="B40" s="1">
        <v>2001037</v>
      </c>
      <c r="C40" s="1">
        <v>111137</v>
      </c>
      <c r="D40" s="2" t="s">
        <v>108</v>
      </c>
      <c r="E40" s="3">
        <v>2600000</v>
      </c>
      <c r="F40" s="4">
        <v>7.1</v>
      </c>
      <c r="G40" s="5">
        <v>300</v>
      </c>
      <c r="H40" s="6" t="s">
        <v>109</v>
      </c>
      <c r="I40" s="7">
        <v>44338</v>
      </c>
      <c r="J40" s="9">
        <f t="shared" si="0"/>
        <v>18542</v>
      </c>
      <c r="K40" s="11">
        <f>VLOOKUP(C40,Customers!$B40:$H40,7,0)</f>
        <v>840</v>
      </c>
    </row>
    <row r="41" spans="2:11">
      <c r="B41" s="1">
        <v>2001038</v>
      </c>
      <c r="C41" s="1">
        <v>111138</v>
      </c>
      <c r="D41" s="2" t="s">
        <v>111</v>
      </c>
      <c r="E41" s="3">
        <v>600000</v>
      </c>
      <c r="F41" s="4">
        <v>13.5</v>
      </c>
      <c r="G41" s="5">
        <v>60</v>
      </c>
      <c r="H41" s="6" t="s">
        <v>112</v>
      </c>
      <c r="I41" s="7">
        <v>43342</v>
      </c>
      <c r="J41" s="9">
        <f t="shared" si="0"/>
        <v>13806</v>
      </c>
      <c r="K41" s="11">
        <f>VLOOKUP(C41,Customers!$B41:$H41,7,0)</f>
        <v>590</v>
      </c>
    </row>
    <row r="42" spans="2:11">
      <c r="B42" s="1">
        <v>2001039</v>
      </c>
      <c r="C42" s="1">
        <v>111139</v>
      </c>
      <c r="D42" s="2" t="s">
        <v>108</v>
      </c>
      <c r="E42" s="3">
        <v>1850000</v>
      </c>
      <c r="F42" s="4">
        <v>7.7</v>
      </c>
      <c r="G42" s="5">
        <v>240</v>
      </c>
      <c r="H42" s="6" t="s">
        <v>109</v>
      </c>
      <c r="I42" s="7">
        <v>44839</v>
      </c>
      <c r="J42" s="9">
        <f t="shared" si="0"/>
        <v>15131</v>
      </c>
      <c r="K42" s="11">
        <f>VLOOKUP(C42,Customers!$B42:$H42,7,0)</f>
        <v>720</v>
      </c>
    </row>
    <row r="43" spans="2:11">
      <c r="B43" s="1">
        <v>2001040</v>
      </c>
      <c r="C43" s="1">
        <v>111140</v>
      </c>
      <c r="D43" s="2" t="s">
        <v>110</v>
      </c>
      <c r="E43" s="3">
        <v>1500000</v>
      </c>
      <c r="F43" s="4">
        <v>9.5</v>
      </c>
      <c r="G43" s="5">
        <v>120</v>
      </c>
      <c r="H43" s="6" t="s">
        <v>109</v>
      </c>
      <c r="I43" s="7">
        <v>44428</v>
      </c>
      <c r="J43" s="9">
        <f t="shared" si="0"/>
        <v>19410</v>
      </c>
      <c r="K43" s="11">
        <f>VLOOKUP(C43,Customers!$B43:$H43,7,0)</f>
        <v>690</v>
      </c>
    </row>
    <row r="44" spans="2:11">
      <c r="B44" s="1">
        <v>2001041</v>
      </c>
      <c r="C44" s="1">
        <v>111141</v>
      </c>
      <c r="D44" s="2" t="s">
        <v>111</v>
      </c>
      <c r="E44" s="3">
        <v>350000</v>
      </c>
      <c r="F44" s="4">
        <v>15</v>
      </c>
      <c r="G44" s="5">
        <v>48</v>
      </c>
      <c r="H44" s="6" t="s">
        <v>112</v>
      </c>
      <c r="I44" s="7">
        <v>43510</v>
      </c>
      <c r="J44" s="9">
        <f t="shared" si="0"/>
        <v>9741</v>
      </c>
      <c r="K44" s="11">
        <f>VLOOKUP(C44,Customers!$B44:$H44,7,0)</f>
        <v>500</v>
      </c>
    </row>
    <row r="45" spans="2:11">
      <c r="B45" s="1">
        <v>2001042</v>
      </c>
      <c r="C45" s="1">
        <v>111142</v>
      </c>
      <c r="D45" s="2" t="s">
        <v>113</v>
      </c>
      <c r="E45" s="3">
        <v>550000</v>
      </c>
      <c r="F45" s="4">
        <v>10.5</v>
      </c>
      <c r="G45" s="5">
        <v>72</v>
      </c>
      <c r="H45" s="6" t="s">
        <v>109</v>
      </c>
      <c r="I45" s="7">
        <v>44896</v>
      </c>
      <c r="J45" s="9">
        <f t="shared" si="0"/>
        <v>10328</v>
      </c>
      <c r="K45" s="11">
        <f>VLOOKUP(C45,Customers!$B45:$H45,7,0)</f>
        <v>640</v>
      </c>
    </row>
    <row r="46" spans="2:11">
      <c r="B46" s="1">
        <v>2001043</v>
      </c>
      <c r="C46" s="1">
        <v>111143</v>
      </c>
      <c r="D46" s="2" t="s">
        <v>111</v>
      </c>
      <c r="E46" s="3">
        <v>300000</v>
      </c>
      <c r="F46" s="4">
        <v>14</v>
      </c>
      <c r="G46" s="5">
        <v>48</v>
      </c>
      <c r="H46" s="6" t="s">
        <v>112</v>
      </c>
      <c r="I46" s="7">
        <v>43297</v>
      </c>
      <c r="J46" s="9">
        <f t="shared" si="0"/>
        <v>8198</v>
      </c>
      <c r="K46" s="11">
        <f>VLOOKUP(C46,Customers!$B46:$H46,7,0)</f>
        <v>440</v>
      </c>
    </row>
    <row r="47" spans="2:11">
      <c r="B47" s="1">
        <v>2001044</v>
      </c>
      <c r="C47" s="1">
        <v>111144</v>
      </c>
      <c r="D47" s="2" t="s">
        <v>108</v>
      </c>
      <c r="E47" s="3">
        <v>2150000</v>
      </c>
      <c r="F47" s="4">
        <v>7.4</v>
      </c>
      <c r="G47" s="5">
        <v>240</v>
      </c>
      <c r="H47" s="6" t="s">
        <v>109</v>
      </c>
      <c r="I47" s="7">
        <v>44709</v>
      </c>
      <c r="J47" s="9">
        <f t="shared" si="0"/>
        <v>17189</v>
      </c>
      <c r="K47" s="11">
        <f>VLOOKUP(C47,Customers!$B47:$H47,7,0)</f>
        <v>800</v>
      </c>
    </row>
    <row r="48" spans="2:11">
      <c r="B48" s="1">
        <v>2001045</v>
      </c>
      <c r="C48" s="1">
        <v>111145</v>
      </c>
      <c r="D48" s="2" t="s">
        <v>110</v>
      </c>
      <c r="E48" s="3">
        <v>980000</v>
      </c>
      <c r="F48" s="4">
        <v>10</v>
      </c>
      <c r="G48" s="5">
        <v>120</v>
      </c>
      <c r="H48" s="6" t="s">
        <v>109</v>
      </c>
      <c r="I48" s="7">
        <v>44454</v>
      </c>
      <c r="J48" s="9">
        <f t="shared" si="0"/>
        <v>12951</v>
      </c>
      <c r="K48" s="11">
        <f>VLOOKUP(C48,Customers!$B48:$H48,7,0)</f>
        <v>610</v>
      </c>
    </row>
    <row r="49" spans="2:11">
      <c r="B49" s="1">
        <v>2001046</v>
      </c>
      <c r="C49" s="1">
        <v>111146</v>
      </c>
      <c r="D49" s="2" t="s">
        <v>111</v>
      </c>
      <c r="E49" s="3">
        <v>260000</v>
      </c>
      <c r="F49" s="4">
        <v>15.5</v>
      </c>
      <c r="G49" s="5">
        <v>48</v>
      </c>
      <c r="H49" s="6" t="s">
        <v>112</v>
      </c>
      <c r="I49" s="7">
        <v>43089</v>
      </c>
      <c r="J49" s="9">
        <f t="shared" si="0"/>
        <v>7302</v>
      </c>
      <c r="K49" s="11">
        <f>VLOOKUP(C49,Customers!$B49:$H49,7,0)</f>
        <v>470</v>
      </c>
    </row>
    <row r="50" spans="2:11">
      <c r="B50" s="1">
        <v>2001047</v>
      </c>
      <c r="C50" s="1">
        <v>111147</v>
      </c>
      <c r="D50" s="2" t="s">
        <v>108</v>
      </c>
      <c r="E50" s="3">
        <v>2400000</v>
      </c>
      <c r="F50" s="4">
        <v>7.2</v>
      </c>
      <c r="G50" s="5">
        <v>300</v>
      </c>
      <c r="H50" s="6" t="s">
        <v>109</v>
      </c>
      <c r="I50" s="7">
        <v>44304</v>
      </c>
      <c r="J50" s="9">
        <f t="shared" si="0"/>
        <v>17270</v>
      </c>
      <c r="K50" s="11">
        <f>VLOOKUP(C50,Customers!$B50:$H50,7,0)</f>
        <v>830</v>
      </c>
    </row>
    <row r="51" spans="2:11">
      <c r="B51" s="1">
        <v>2001048</v>
      </c>
      <c r="C51" s="1">
        <v>111148</v>
      </c>
      <c r="D51" s="2" t="s">
        <v>114</v>
      </c>
      <c r="E51" s="3">
        <v>400000</v>
      </c>
      <c r="F51" s="4">
        <v>10.5</v>
      </c>
      <c r="G51" s="5">
        <v>84</v>
      </c>
      <c r="H51" s="6" t="s">
        <v>109</v>
      </c>
      <c r="I51" s="7">
        <v>44875</v>
      </c>
      <c r="J51" s="9">
        <f t="shared" si="0"/>
        <v>6744</v>
      </c>
      <c r="K51" s="11">
        <f>VLOOKUP(C51,Customers!$B51:$H51,7,0)</f>
        <v>760</v>
      </c>
    </row>
    <row r="52" spans="2:11">
      <c r="B52" s="1">
        <v>2001049</v>
      </c>
      <c r="C52" s="1">
        <v>111149</v>
      </c>
      <c r="D52" s="2" t="s">
        <v>110</v>
      </c>
      <c r="E52" s="3">
        <v>1780000</v>
      </c>
      <c r="F52" s="4">
        <v>8.8000000000000007</v>
      </c>
      <c r="G52" s="5">
        <v>180</v>
      </c>
      <c r="H52" s="6" t="s">
        <v>109</v>
      </c>
      <c r="I52" s="7">
        <v>44012</v>
      </c>
      <c r="J52" s="9">
        <f t="shared" si="0"/>
        <v>17843</v>
      </c>
      <c r="K52" s="11">
        <f>VLOOKUP(C52,Customers!$B52:$H52,7,0)</f>
        <v>700</v>
      </c>
    </row>
    <row r="53" spans="2:11">
      <c r="B53" s="1">
        <v>2001050</v>
      </c>
      <c r="C53" s="1">
        <v>111150</v>
      </c>
      <c r="D53" s="2" t="s">
        <v>111</v>
      </c>
      <c r="E53" s="3">
        <v>420000</v>
      </c>
      <c r="F53" s="4">
        <v>13</v>
      </c>
      <c r="G53" s="5">
        <v>60</v>
      </c>
      <c r="H53" s="6" t="s">
        <v>109</v>
      </c>
      <c r="I53" s="7">
        <v>44979</v>
      </c>
      <c r="J53" s="9">
        <f t="shared" si="0"/>
        <v>9556</v>
      </c>
      <c r="K53" s="11">
        <f>VLOOKUP(C53,Customers!$B53:$H53,7,0)</f>
        <v>550</v>
      </c>
    </row>
    <row r="54" spans="2:11">
      <c r="B54" s="1">
        <v>2001051</v>
      </c>
      <c r="C54" s="1">
        <v>111151</v>
      </c>
      <c r="D54" s="2" t="s">
        <v>113</v>
      </c>
      <c r="E54" s="3">
        <v>680000</v>
      </c>
      <c r="F54" s="4">
        <v>10.8</v>
      </c>
      <c r="G54" s="5">
        <v>72</v>
      </c>
      <c r="H54" s="6" t="s">
        <v>109</v>
      </c>
      <c r="I54" s="7">
        <v>44756</v>
      </c>
      <c r="J54" s="9">
        <f t="shared" si="0"/>
        <v>12874</v>
      </c>
      <c r="K54" s="11">
        <f>VLOOKUP(C54,Customers!$B54:$H54,7,0)</f>
        <v>620</v>
      </c>
    </row>
    <row r="55" spans="2:11">
      <c r="B55" s="1">
        <v>2001052</v>
      </c>
      <c r="C55" s="1">
        <v>111152</v>
      </c>
      <c r="D55" s="2" t="s">
        <v>108</v>
      </c>
      <c r="E55" s="3">
        <v>2900000</v>
      </c>
      <c r="F55" s="4">
        <v>7</v>
      </c>
      <c r="G55" s="5">
        <v>300</v>
      </c>
      <c r="H55" s="6" t="s">
        <v>109</v>
      </c>
      <c r="I55" s="7">
        <v>44221</v>
      </c>
      <c r="J55" s="9">
        <f t="shared" si="0"/>
        <v>20497</v>
      </c>
      <c r="K55" s="11">
        <f>VLOOKUP(C55,Customers!$B55:$H55,7,0)</f>
        <v>860</v>
      </c>
    </row>
    <row r="56" spans="2:11">
      <c r="B56" s="1">
        <v>2001053</v>
      </c>
      <c r="C56" s="1">
        <v>111153</v>
      </c>
      <c r="D56" s="2" t="s">
        <v>110</v>
      </c>
      <c r="E56" s="3">
        <v>1020000</v>
      </c>
      <c r="F56" s="4">
        <v>11</v>
      </c>
      <c r="G56" s="5">
        <v>120</v>
      </c>
      <c r="H56" s="6" t="s">
        <v>112</v>
      </c>
      <c r="I56" s="7">
        <v>43746</v>
      </c>
      <c r="J56" s="9">
        <f t="shared" si="0"/>
        <v>14051</v>
      </c>
      <c r="K56" s="11">
        <f>VLOOKUP(C56,Customers!$B56:$H56,7,0)</f>
        <v>560</v>
      </c>
    </row>
    <row r="57" spans="2:11">
      <c r="B57" s="1">
        <v>2001054</v>
      </c>
      <c r="C57" s="1">
        <v>111154</v>
      </c>
      <c r="D57" s="2" t="s">
        <v>108</v>
      </c>
      <c r="E57" s="3">
        <v>1680000</v>
      </c>
      <c r="F57" s="4">
        <v>7.7</v>
      </c>
      <c r="G57" s="5">
        <v>240</v>
      </c>
      <c r="H57" s="6" t="s">
        <v>109</v>
      </c>
      <c r="I57" s="7">
        <v>44639</v>
      </c>
      <c r="J57" s="9">
        <f t="shared" si="0"/>
        <v>13740</v>
      </c>
      <c r="K57" s="11">
        <f>VLOOKUP(C57,Customers!$B57:$H57,7,0)</f>
        <v>740</v>
      </c>
    </row>
    <row r="58" spans="2:11">
      <c r="B58" s="1">
        <v>2001055</v>
      </c>
      <c r="C58" s="1">
        <v>111155</v>
      </c>
      <c r="D58" s="2" t="s">
        <v>111</v>
      </c>
      <c r="E58" s="3">
        <v>390000</v>
      </c>
      <c r="F58" s="4">
        <v>14.5</v>
      </c>
      <c r="G58" s="5">
        <v>48</v>
      </c>
      <c r="H58" s="6" t="s">
        <v>112</v>
      </c>
      <c r="I58" s="7">
        <v>43348</v>
      </c>
      <c r="J58" s="9">
        <f t="shared" si="0"/>
        <v>10755</v>
      </c>
      <c r="K58" s="11">
        <f>VLOOKUP(C58,Customers!$B58:$H58,7,0)</f>
        <v>530</v>
      </c>
    </row>
    <row r="59" spans="2:11">
      <c r="B59" s="1">
        <v>2001056</v>
      </c>
      <c r="C59" s="1">
        <v>111156</v>
      </c>
      <c r="D59" s="2" t="s">
        <v>111</v>
      </c>
      <c r="E59" s="3">
        <v>220000</v>
      </c>
      <c r="F59" s="4">
        <v>15.5</v>
      </c>
      <c r="G59" s="5">
        <v>36</v>
      </c>
      <c r="H59" s="6" t="s">
        <v>112</v>
      </c>
      <c r="I59" s="7">
        <v>42914</v>
      </c>
      <c r="J59" s="9">
        <f t="shared" si="0"/>
        <v>7680</v>
      </c>
      <c r="K59" s="11">
        <f>VLOOKUP(C59,Customers!$B59:$H59,7,0)</f>
        <v>410</v>
      </c>
    </row>
    <row r="60" spans="2:11">
      <c r="B60" s="1">
        <v>2001057</v>
      </c>
      <c r="C60" s="1">
        <v>111157</v>
      </c>
      <c r="D60" s="2" t="s">
        <v>110</v>
      </c>
      <c r="E60" s="3">
        <v>1920000</v>
      </c>
      <c r="F60" s="4">
        <v>8.6</v>
      </c>
      <c r="G60" s="5">
        <v>180</v>
      </c>
      <c r="H60" s="6" t="s">
        <v>109</v>
      </c>
      <c r="I60" s="7">
        <v>44180</v>
      </c>
      <c r="J60" s="9">
        <f t="shared" si="0"/>
        <v>19020</v>
      </c>
      <c r="K60" s="11">
        <f>VLOOKUP(C60,Customers!$B60:$H60,7,0)</f>
        <v>750</v>
      </c>
    </row>
    <row r="61" spans="2:11">
      <c r="B61" s="1">
        <v>2001058</v>
      </c>
      <c r="C61" s="1">
        <v>111158</v>
      </c>
      <c r="D61" s="2" t="s">
        <v>113</v>
      </c>
      <c r="E61" s="3">
        <v>620000</v>
      </c>
      <c r="F61" s="4">
        <v>10</v>
      </c>
      <c r="G61" s="5">
        <v>72</v>
      </c>
      <c r="H61" s="6" t="s">
        <v>109</v>
      </c>
      <c r="I61" s="7">
        <v>45026</v>
      </c>
      <c r="J61" s="9">
        <f t="shared" si="0"/>
        <v>11486</v>
      </c>
      <c r="K61" s="11">
        <f>VLOOKUP(C61,Customers!$B61:$H61,7,0)</f>
        <v>670</v>
      </c>
    </row>
    <row r="62" spans="2:11">
      <c r="B62" s="1">
        <v>2001059</v>
      </c>
      <c r="C62" s="1">
        <v>111159</v>
      </c>
      <c r="D62" s="2" t="s">
        <v>108</v>
      </c>
      <c r="E62" s="3">
        <v>1430000</v>
      </c>
      <c r="F62" s="4">
        <v>8</v>
      </c>
      <c r="G62" s="5">
        <v>240</v>
      </c>
      <c r="H62" s="6" t="s">
        <v>115</v>
      </c>
      <c r="I62" s="7">
        <v>43426</v>
      </c>
      <c r="J62" s="9">
        <f t="shared" si="0"/>
        <v>11961</v>
      </c>
      <c r="K62" s="11">
        <f>VLOOKUP(C62,Customers!$B62:$H62,7,0)</f>
        <v>690</v>
      </c>
    </row>
    <row r="63" spans="2:11">
      <c r="B63" s="1">
        <v>2001060</v>
      </c>
      <c r="C63" s="1">
        <v>111160</v>
      </c>
      <c r="D63" s="2" t="s">
        <v>108</v>
      </c>
      <c r="E63" s="3">
        <v>2250000</v>
      </c>
      <c r="F63" s="4">
        <v>7.3</v>
      </c>
      <c r="G63" s="5">
        <v>300</v>
      </c>
      <c r="H63" s="6" t="s">
        <v>109</v>
      </c>
      <c r="I63" s="7">
        <v>44407</v>
      </c>
      <c r="J63" s="9">
        <f t="shared" si="0"/>
        <v>16336</v>
      </c>
      <c r="K63" s="11">
        <f>VLOOKUP(C63,Customers!$B63:$H63,7,0)</f>
        <v>820</v>
      </c>
    </row>
    <row r="64" spans="2:11">
      <c r="B64" s="1">
        <v>2001061</v>
      </c>
      <c r="C64" s="1">
        <v>111101</v>
      </c>
      <c r="D64" s="2" t="s">
        <v>113</v>
      </c>
      <c r="E64" s="3">
        <v>500000</v>
      </c>
      <c r="F64" s="4">
        <v>11</v>
      </c>
      <c r="G64" s="5">
        <v>60</v>
      </c>
      <c r="H64" s="6" t="s">
        <v>109</v>
      </c>
      <c r="I64" s="7">
        <v>45056</v>
      </c>
      <c r="J64" s="9">
        <f t="shared" si="0"/>
        <v>10871</v>
      </c>
    </row>
    <row r="65" spans="2:10">
      <c r="B65" s="1">
        <v>2001062</v>
      </c>
      <c r="C65" s="1">
        <v>111103</v>
      </c>
      <c r="D65" s="2" t="s">
        <v>114</v>
      </c>
      <c r="E65" s="3">
        <v>300000</v>
      </c>
      <c r="F65" s="4">
        <v>10</v>
      </c>
      <c r="G65" s="5">
        <v>72</v>
      </c>
      <c r="H65" s="6" t="s">
        <v>115</v>
      </c>
      <c r="I65" s="7">
        <v>42887</v>
      </c>
      <c r="J65" s="9">
        <f t="shared" si="0"/>
        <v>5558</v>
      </c>
    </row>
    <row r="66" spans="2:10">
      <c r="B66" s="1">
        <v>2001063</v>
      </c>
      <c r="C66" s="1">
        <v>111106</v>
      </c>
      <c r="D66" s="2" t="s">
        <v>108</v>
      </c>
      <c r="E66" s="3">
        <v>2500000</v>
      </c>
      <c r="F66" s="4">
        <v>7.5</v>
      </c>
      <c r="G66" s="5">
        <v>240</v>
      </c>
      <c r="H66" s="6" t="s">
        <v>109</v>
      </c>
      <c r="I66" s="7">
        <v>43902</v>
      </c>
      <c r="J66" s="9">
        <f t="shared" si="0"/>
        <v>20140</v>
      </c>
    </row>
    <row r="67" spans="2:10">
      <c r="B67" s="1">
        <v>2001064</v>
      </c>
      <c r="C67" s="1">
        <v>111111</v>
      </c>
      <c r="D67" s="2" t="s">
        <v>113</v>
      </c>
      <c r="E67" s="3">
        <v>900000</v>
      </c>
      <c r="F67" s="4">
        <v>9.5</v>
      </c>
      <c r="G67" s="5">
        <v>72</v>
      </c>
      <c r="H67" s="6" t="s">
        <v>109</v>
      </c>
      <c r="I67" s="7">
        <v>44791</v>
      </c>
      <c r="J67" s="9">
        <f t="shared" si="0"/>
        <v>16447</v>
      </c>
    </row>
    <row r="68" spans="2:10">
      <c r="B68" s="1">
        <v>2001065</v>
      </c>
      <c r="C68" s="1">
        <v>111113</v>
      </c>
      <c r="D68" s="2" t="s">
        <v>110</v>
      </c>
      <c r="E68" s="3">
        <v>1500000</v>
      </c>
      <c r="F68" s="4">
        <v>8.8000000000000007</v>
      </c>
      <c r="G68" s="5">
        <v>120</v>
      </c>
      <c r="H68" s="6" t="s">
        <v>109</v>
      </c>
      <c r="I68" s="7">
        <v>44474</v>
      </c>
      <c r="J68" s="9">
        <f t="shared" si="0"/>
        <v>18839</v>
      </c>
    </row>
    <row r="69" spans="2:10">
      <c r="B69" s="1">
        <v>2001066</v>
      </c>
      <c r="C69" s="1">
        <v>111115</v>
      </c>
      <c r="D69" s="2" t="s">
        <v>114</v>
      </c>
      <c r="E69" s="3">
        <v>500000</v>
      </c>
      <c r="F69" s="4">
        <v>9.5</v>
      </c>
      <c r="G69" s="5">
        <v>84</v>
      </c>
      <c r="H69" s="6" t="s">
        <v>115</v>
      </c>
      <c r="I69" s="7">
        <v>42205</v>
      </c>
      <c r="J69" s="9">
        <f t="shared" ref="J69:J73" si="1">ROUND(PMT(F69/12/100, G69, -E69), 0)</f>
        <v>8172</v>
      </c>
    </row>
    <row r="70" spans="2:10">
      <c r="B70" s="1">
        <v>2001067</v>
      </c>
      <c r="C70" s="1">
        <v>111119</v>
      </c>
      <c r="D70" s="2" t="s">
        <v>108</v>
      </c>
      <c r="E70" s="3">
        <v>2000000</v>
      </c>
      <c r="F70" s="4">
        <v>7.8</v>
      </c>
      <c r="G70" s="5">
        <v>240</v>
      </c>
      <c r="H70" s="6" t="s">
        <v>109</v>
      </c>
      <c r="I70" s="7">
        <v>44676</v>
      </c>
      <c r="J70" s="9">
        <f t="shared" si="1"/>
        <v>16481</v>
      </c>
    </row>
    <row r="71" spans="2:10">
      <c r="B71" s="1">
        <v>2001068</v>
      </c>
      <c r="C71" s="1">
        <v>111126</v>
      </c>
      <c r="D71" s="2" t="s">
        <v>113</v>
      </c>
      <c r="E71" s="3">
        <v>700000</v>
      </c>
      <c r="F71" s="4">
        <v>10.5</v>
      </c>
      <c r="G71" s="5">
        <v>72</v>
      </c>
      <c r="H71" s="6" t="s">
        <v>109</v>
      </c>
      <c r="I71" s="7">
        <v>45092</v>
      </c>
      <c r="J71" s="9">
        <f t="shared" si="1"/>
        <v>13145</v>
      </c>
    </row>
    <row r="72" spans="2:10">
      <c r="B72" s="1">
        <v>2001069</v>
      </c>
      <c r="C72" s="1">
        <v>111137</v>
      </c>
      <c r="D72" s="2" t="s">
        <v>110</v>
      </c>
      <c r="E72" s="3">
        <v>1800000</v>
      </c>
      <c r="F72" s="4">
        <v>8.4</v>
      </c>
      <c r="G72" s="5">
        <v>180</v>
      </c>
      <c r="H72" s="6" t="s">
        <v>109</v>
      </c>
      <c r="I72" s="7">
        <v>44447</v>
      </c>
      <c r="J72" s="9">
        <f t="shared" si="1"/>
        <v>17620</v>
      </c>
    </row>
    <row r="73" spans="2:10">
      <c r="B73" s="1">
        <v>2001070</v>
      </c>
      <c r="C73" s="1">
        <v>111152</v>
      </c>
      <c r="D73" s="2" t="s">
        <v>110</v>
      </c>
      <c r="E73" s="3">
        <v>1500000</v>
      </c>
      <c r="F73" s="4">
        <v>8.9</v>
      </c>
      <c r="G73" s="5">
        <v>120</v>
      </c>
      <c r="H73" s="6" t="s">
        <v>109</v>
      </c>
      <c r="I73" s="7">
        <v>44606</v>
      </c>
      <c r="J73" s="9">
        <f t="shared" si="1"/>
        <v>18920</v>
      </c>
    </row>
  </sheetData>
  <mergeCells count="1">
    <mergeCell ref="B2:K2"/>
  </mergeCells>
  <conditionalFormatting sqref="H4:H73">
    <cfRule type="cellIs" dxfId="13" priority="1" operator="equal">
      <formula>"NPA"</formula>
    </cfRule>
    <cfRule type="cellIs" dxfId="12" priority="2" operator="equal">
      <formula>"Closed"</formula>
    </cfRule>
    <cfRule type="cellIs" dxfId="11" priority="3" operator="equal">
      <formula>"Active"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C51B-B7BF-476F-9057-8FC960AE6603}">
  <dimension ref="B4:C9"/>
  <sheetViews>
    <sheetView showGridLines="0" workbookViewId="0">
      <selection activeCell="C8" sqref="C8"/>
    </sheetView>
  </sheetViews>
  <sheetFormatPr defaultRowHeight="14.6"/>
  <cols>
    <col min="1" max="1" width="1.84375" customWidth="1"/>
    <col min="2" max="2" width="19.765625" bestFit="1" customWidth="1"/>
    <col min="3" max="3" width="16.07421875" bestFit="1" customWidth="1"/>
    <col min="4" max="4" width="11.07421875" bestFit="1" customWidth="1"/>
    <col min="8" max="8" width="19.765625" bestFit="1" customWidth="1"/>
    <col min="9" max="9" width="9.3046875" bestFit="1" customWidth="1"/>
  </cols>
  <sheetData>
    <row r="4" spans="2:3">
      <c r="B4" s="95" t="s">
        <v>116</v>
      </c>
      <c r="C4" s="95"/>
    </row>
    <row r="5" spans="2:3">
      <c r="B5" s="11" t="s">
        <v>117</v>
      </c>
      <c r="C5" s="17">
        <f>ROUND(SUM(Loans!E4:E73)/1000000,2)</f>
        <v>91.48</v>
      </c>
    </row>
    <row r="6" spans="2:3">
      <c r="B6" s="11" t="s">
        <v>118</v>
      </c>
      <c r="C6" s="11">
        <f>COUNTA(Loans!B4:B73)</f>
        <v>70</v>
      </c>
    </row>
    <row r="7" spans="2:3">
      <c r="B7" s="11" t="s">
        <v>119</v>
      </c>
      <c r="C7" s="11">
        <f>COUNTA(Customers!B4:B63)</f>
        <v>60</v>
      </c>
    </row>
    <row r="8" spans="2:3">
      <c r="B8" s="11" t="s">
        <v>120</v>
      </c>
      <c r="C8" s="62" t="str">
        <f>ROUND(AVERAGE(Loans!F4:F73),2) &amp; "%"</f>
        <v>10%</v>
      </c>
    </row>
    <row r="9" spans="2:3">
      <c r="B9" s="11" t="s">
        <v>121</v>
      </c>
      <c r="C9" s="17">
        <f>ROUND(AVERAGE(Loans!E4:E73)/1000,0)</f>
        <v>1307</v>
      </c>
    </row>
  </sheetData>
  <mergeCells count="1">
    <mergeCell ref="B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74288-24B5-4E21-8600-1EE5E2F56C20}">
  <dimension ref="B2:D14"/>
  <sheetViews>
    <sheetView showGridLines="0" workbookViewId="0">
      <selection activeCell="C10" sqref="C10"/>
    </sheetView>
  </sheetViews>
  <sheetFormatPr defaultRowHeight="14.6"/>
  <cols>
    <col min="1" max="1" width="1.84375" customWidth="1"/>
    <col min="2" max="2" width="13.53515625" bestFit="1" customWidth="1"/>
    <col min="3" max="3" width="15.07421875" bestFit="1" customWidth="1"/>
    <col min="4" max="4" width="10.61328125" bestFit="1" customWidth="1"/>
  </cols>
  <sheetData>
    <row r="2" spans="2:4">
      <c r="B2" s="18" t="s">
        <v>101</v>
      </c>
      <c r="C2" s="18" t="s">
        <v>126</v>
      </c>
      <c r="D2" s="18" t="s">
        <v>129</v>
      </c>
    </row>
    <row r="3" spans="2:4">
      <c r="B3" s="11" t="s">
        <v>108</v>
      </c>
      <c r="C3" s="11">
        <f>COUNTIF(Loans!D4:D73,"Home Loan")</f>
        <v>22</v>
      </c>
      <c r="D3" s="17">
        <f>ROUND(SUMIF(Loans!D4:D73,"Home Loan",Loans!E4:E73)/1000000,2)</f>
        <v>47.86</v>
      </c>
    </row>
    <row r="4" spans="2:4">
      <c r="B4" s="11" t="s">
        <v>110</v>
      </c>
      <c r="C4" s="11">
        <f>COUNTIF(Loans!D4:D73,"Business Loan")</f>
        <v>16</v>
      </c>
      <c r="D4" s="17">
        <f>ROUND(SUMIF(Loans!D4:D73,"Business Loan",Loans!E4:E73)/1000000,2)</f>
        <v>26.25</v>
      </c>
    </row>
    <row r="5" spans="2:4">
      <c r="B5" s="11" t="s">
        <v>111</v>
      </c>
      <c r="C5" s="11">
        <f>COUNTIF(Loans!D4:D73,"Personal Loan")</f>
        <v>13</v>
      </c>
      <c r="D5" s="17">
        <f>ROUND(SUMIF(Loans!D4:D73,"Personal Loan",Loans!E4:E73)/1000000,2)</f>
        <v>6.22</v>
      </c>
    </row>
    <row r="6" spans="2:4">
      <c r="B6" s="11" t="s">
        <v>113</v>
      </c>
      <c r="C6" s="11">
        <f>COUNTIF(Loans!D4:D73,"Auto Loan")</f>
        <v>12</v>
      </c>
      <c r="D6" s="17">
        <f>ROUND(SUMIF(Loans!D4:D73,"Auto Loan",Loans!E4:E73)/1000000,2)</f>
        <v>8.0299999999999994</v>
      </c>
    </row>
    <row r="7" spans="2:4">
      <c r="B7" s="11" t="s">
        <v>114</v>
      </c>
      <c r="C7" s="11">
        <f>COUNTIF(Loans!D4:D73,"Education Loan")</f>
        <v>7</v>
      </c>
      <c r="D7" s="17">
        <f>ROUND(SUMIF(Loans!D4:D73,"Education Loan",Loans!E4:E73)/1000000,2)</f>
        <v>3.12</v>
      </c>
    </row>
    <row r="9" spans="2:4">
      <c r="B9" s="18" t="s">
        <v>101</v>
      </c>
      <c r="C9" s="18" t="s">
        <v>131</v>
      </c>
    </row>
    <row r="10" spans="2:4">
      <c r="B10" s="11" t="s">
        <v>108</v>
      </c>
      <c r="C10" s="11" t="str">
        <f>ROUND(D3/SUM($D$3:$D$7)*100,1)&amp;"%"</f>
        <v>52.3%</v>
      </c>
    </row>
    <row r="11" spans="2:4">
      <c r="B11" s="11" t="s">
        <v>110</v>
      </c>
      <c r="C11" s="11" t="str">
        <f>ROUND(D4/SUM($D$3:$D$7)*100,1)&amp;"%"</f>
        <v>28.7%</v>
      </c>
    </row>
    <row r="12" spans="2:4">
      <c r="B12" s="11" t="s">
        <v>111</v>
      </c>
      <c r="C12" s="11" t="str">
        <f>ROUND(D5/SUM($D$3:$D$7)*100,1)&amp;"%"</f>
        <v>6.8%</v>
      </c>
    </row>
    <row r="13" spans="2:4">
      <c r="B13" s="11" t="s">
        <v>113</v>
      </c>
      <c r="C13" s="11" t="str">
        <f>ROUND(D6/SUM($D$3:$D$7)*100,1)&amp;"%"</f>
        <v>8.8%</v>
      </c>
    </row>
    <row r="14" spans="2:4">
      <c r="B14" s="11" t="s">
        <v>114</v>
      </c>
      <c r="C14" s="11" t="str">
        <f>ROUND(D7/SUM($D$3:$D$7)*100,1)&amp;"%"</f>
        <v>3.4%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4AA8-67E2-4C39-BAAD-F508847ABFC4}">
  <dimension ref="B2:D14"/>
  <sheetViews>
    <sheetView showGridLines="0" workbookViewId="0">
      <selection activeCell="J31" sqref="J31"/>
    </sheetView>
  </sheetViews>
  <sheetFormatPr defaultRowHeight="14.6"/>
  <cols>
    <col min="1" max="1" width="1.84375" customWidth="1"/>
    <col min="2" max="2" width="13.53515625" bestFit="1" customWidth="1"/>
    <col min="3" max="3" width="16.3046875" bestFit="1" customWidth="1"/>
    <col min="4" max="4" width="19.3046875" bestFit="1" customWidth="1"/>
  </cols>
  <sheetData>
    <row r="2" spans="2:4">
      <c r="B2" s="18" t="s">
        <v>101</v>
      </c>
      <c r="C2" s="18" t="s">
        <v>132</v>
      </c>
      <c r="D2" s="18" t="s">
        <v>130</v>
      </c>
    </row>
    <row r="3" spans="2:4">
      <c r="B3" s="11" t="s">
        <v>108</v>
      </c>
      <c r="C3" s="17">
        <f>SUMIF(Loans!$D$4:$D$73,"Home Loan",(Loans!$E$4:$E$73))/1000000</f>
        <v>47.86</v>
      </c>
      <c r="D3" s="17">
        <f>SUMIFS(Loans!$E$4:$E$73,Loans!$D$4:$D$73,"Home Loan",Loans!$H$4:$H$73,"NPA")</f>
        <v>0</v>
      </c>
    </row>
    <row r="4" spans="2:4">
      <c r="B4" s="11" t="s">
        <v>110</v>
      </c>
      <c r="C4" s="17">
        <f>SUMIF(Loans!$D$4:$D$73,"Business Loan",(Loans!$E$4:$E$73))/1000000</f>
        <v>26.25</v>
      </c>
      <c r="D4" s="17">
        <f>SUMIFS(Loans!$E$4:$E$73,Loans!$D$4:$D$73,"Business Loan",Loans!$H$4:$H$73,"NPA")/1000000</f>
        <v>2.67</v>
      </c>
    </row>
    <row r="5" spans="2:4">
      <c r="B5" s="11" t="s">
        <v>111</v>
      </c>
      <c r="C5" s="17">
        <f>SUMIF(Loans!$D$4:$D$73,"Personal Loan",(Loans!$E$4:$E$73))/1000000</f>
        <v>6.22</v>
      </c>
      <c r="D5" s="17">
        <f>SUMIFS(Loans!$E$4:$E$73,Loans!$D$4:$D$73,"Personal Loan",Loans!$H$4:$H$73,"NPA")/1000000</f>
        <v>5.25</v>
      </c>
    </row>
    <row r="6" spans="2:4">
      <c r="B6" s="11" t="s">
        <v>113</v>
      </c>
      <c r="C6" s="17">
        <f>SUMIF(Loans!$D$4:$D$73,"Auto Loan",(Loans!$E$4:$E$73))/1000000</f>
        <v>8.0299999999999994</v>
      </c>
      <c r="D6" s="17">
        <f>SUMIFS(Loans!$E$4:$E$73,Loans!$D$4:$D$73,"Auto Loan",Loans!$H$4:$H$73,"NPA")/1000000</f>
        <v>0.57999999999999996</v>
      </c>
    </row>
    <row r="7" spans="2:4">
      <c r="B7" s="11" t="s">
        <v>114</v>
      </c>
      <c r="C7" s="17">
        <f>SUMIF(Loans!$D$4:$D$73,"Education Loan",(Loans!$E$4:$E$73))/1000000</f>
        <v>3.12</v>
      </c>
      <c r="D7" s="17">
        <f>SUMIFS(Loans!$E$4:$E$73,Loans!$D$4:$D$73,"Education Loan",Loans!$H$4:$H$73,"NPA")/1000000</f>
        <v>1.02</v>
      </c>
    </row>
    <row r="9" spans="2:4">
      <c r="B9" s="18" t="s">
        <v>101</v>
      </c>
      <c r="C9" s="18" t="s">
        <v>133</v>
      </c>
    </row>
    <row r="10" spans="2:4">
      <c r="B10" s="11" t="s">
        <v>108</v>
      </c>
      <c r="C10" s="63">
        <f>ROUND(D3/C3*100,1)</f>
        <v>0</v>
      </c>
    </row>
    <row r="11" spans="2:4">
      <c r="B11" s="11" t="s">
        <v>110</v>
      </c>
      <c r="C11" s="63">
        <f>ROUND(D4/C4*100,1)</f>
        <v>10.199999999999999</v>
      </c>
    </row>
    <row r="12" spans="2:4">
      <c r="B12" s="11" t="s">
        <v>111</v>
      </c>
      <c r="C12" s="63">
        <f>ROUND(D5/C5*100,1)</f>
        <v>84.4</v>
      </c>
    </row>
    <row r="13" spans="2:4">
      <c r="B13" s="11" t="s">
        <v>113</v>
      </c>
      <c r="C13" s="63">
        <f>ROUND(D6/C6*100,1)</f>
        <v>7.2</v>
      </c>
    </row>
    <row r="14" spans="2:4">
      <c r="B14" s="11" t="s">
        <v>114</v>
      </c>
      <c r="C14" s="63">
        <f>ROUND(D7/C7*100,1)</f>
        <v>32.700000000000003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9D60-D5DE-447D-A1F1-64B43AAD2C8F}">
  <dimension ref="B3:D8"/>
  <sheetViews>
    <sheetView showGridLines="0" workbookViewId="0">
      <selection activeCell="E19" sqref="E19"/>
    </sheetView>
  </sheetViews>
  <sheetFormatPr defaultRowHeight="14.6"/>
  <cols>
    <col min="1" max="1" width="1.84375" customWidth="1"/>
    <col min="2" max="2" width="13.921875" bestFit="1" customWidth="1"/>
    <col min="3" max="3" width="15.07421875" bestFit="1" customWidth="1"/>
    <col min="4" max="4" width="11.07421875" bestFit="1" customWidth="1"/>
    <col min="9" max="9" width="9.23046875" customWidth="1"/>
  </cols>
  <sheetData>
    <row r="3" spans="2:4">
      <c r="B3" s="18" t="s">
        <v>127</v>
      </c>
      <c r="C3" s="18" t="s">
        <v>126</v>
      </c>
      <c r="D3" s="18" t="s">
        <v>128</v>
      </c>
    </row>
    <row r="4" spans="2:4">
      <c r="B4" s="11" t="s">
        <v>122</v>
      </c>
      <c r="C4" s="11">
        <f>COUNTIF(Loans!H4:H73,"Active")</f>
        <v>49</v>
      </c>
      <c r="D4" s="17">
        <f>ROUND(SUMIF(Loans!H4:H73,"Active",Loans!E4:E73)/1000000,2)</f>
        <v>78.73</v>
      </c>
    </row>
    <row r="5" spans="2:4">
      <c r="B5" s="11" t="s">
        <v>123</v>
      </c>
      <c r="C5" s="12">
        <f>COUNTIF(Loans!H4:H73,"NPA")</f>
        <v>16</v>
      </c>
      <c r="D5" s="17">
        <f>ROUND(SUMIF(Loans!H4:H73,"NPA",Loans!E4:E73)/1000000,2)</f>
        <v>9.52</v>
      </c>
    </row>
    <row r="6" spans="2:4">
      <c r="B6" s="11" t="s">
        <v>124</v>
      </c>
      <c r="C6" s="11">
        <f>COUNTIF(Loans!H4:H73,"Closed")</f>
        <v>5</v>
      </c>
      <c r="D6" s="17">
        <f>ROUND(SUMIF(Loans!H4:H73,"Closed",Loans!E4:E73)/1000000,2)</f>
        <v>3.23</v>
      </c>
    </row>
    <row r="7" spans="2:4">
      <c r="D7" s="15"/>
    </row>
    <row r="8" spans="2:4">
      <c r="B8" s="13" t="s">
        <v>125</v>
      </c>
      <c r="C8" s="14" t="str">
        <f>ROUND(D5/SUM(D4:D6)*100,2)&amp;"%"</f>
        <v>10.41%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8F13-25BC-4457-9509-A7D7231DF8AC}">
  <dimension ref="B2:E7"/>
  <sheetViews>
    <sheetView showGridLines="0" workbookViewId="0">
      <selection activeCell="I33" sqref="I33"/>
    </sheetView>
  </sheetViews>
  <sheetFormatPr defaultRowHeight="14.6"/>
  <cols>
    <col min="1" max="1" width="1.84375" customWidth="1"/>
    <col min="2" max="2" width="22.07421875" bestFit="1" customWidth="1"/>
    <col min="3" max="3" width="14.3828125" bestFit="1" customWidth="1"/>
    <col min="4" max="4" width="14.23046875" bestFit="1" customWidth="1"/>
    <col min="5" max="5" width="10.23046875" bestFit="1" customWidth="1"/>
  </cols>
  <sheetData>
    <row r="2" spans="2:5">
      <c r="B2" s="96" t="s">
        <v>134</v>
      </c>
      <c r="C2" s="96"/>
      <c r="D2" s="96"/>
      <c r="E2" s="96"/>
    </row>
    <row r="3" spans="2:5">
      <c r="B3" s="19" t="s">
        <v>135</v>
      </c>
      <c r="C3" s="25" t="s">
        <v>136</v>
      </c>
      <c r="D3" s="25" t="s">
        <v>137</v>
      </c>
      <c r="E3" s="24" t="s">
        <v>143</v>
      </c>
    </row>
    <row r="4" spans="2:5">
      <c r="B4" s="20" t="s">
        <v>138</v>
      </c>
      <c r="C4" s="11">
        <f>COUNTIF(Customers!H4:H63,"&gt;="&amp;750)</f>
        <v>18</v>
      </c>
      <c r="D4" s="11">
        <f>COUNTIFS(Loans!$H$4:$H$63,"NPA", Loans!$K$4:$K$63,"&gt;=750")</f>
        <v>0</v>
      </c>
      <c r="E4" s="27" t="str">
        <f>ROUND(D4/C4*100,1)&amp;"%"</f>
        <v>0%</v>
      </c>
    </row>
    <row r="5" spans="2:5">
      <c r="B5" s="21" t="s">
        <v>139</v>
      </c>
      <c r="C5" s="11">
        <f>COUNTIFS(Customers!H4:H63,"&gt;="&amp;650,Customers!H4:H63,"&lt;"&amp;750)</f>
        <v>17</v>
      </c>
      <c r="D5" s="11">
        <f>COUNTIFS(Loans!H4:H63,"NPA",Loans!K4:K63,"&gt;=650",Loans!K4:K63,"&lt;750")</f>
        <v>0</v>
      </c>
      <c r="E5" s="27" t="str">
        <f>ROUND(D5/C5*100,1)&amp;"%"</f>
        <v>0%</v>
      </c>
    </row>
    <row r="6" spans="2:5">
      <c r="B6" s="22" t="s">
        <v>140</v>
      </c>
      <c r="C6" s="11">
        <f>COUNTIFS(Customers!H4:H63,"&gt;="&amp;550,Customers!H4:H63,"&lt;"&amp;650)</f>
        <v>15</v>
      </c>
      <c r="D6" s="11">
        <f>COUNTIFS(Loans!H4:H63,"NPA",Loans!K4:K63,"&gt;=550",Loans!K4:K63,"&lt;650")</f>
        <v>6</v>
      </c>
      <c r="E6" s="27" t="str">
        <f>ROUND(D6/C6*100,1)&amp;"%"</f>
        <v>40%</v>
      </c>
    </row>
    <row r="7" spans="2:5">
      <c r="B7" s="23" t="s">
        <v>141</v>
      </c>
      <c r="C7" s="11">
        <f>COUNTIF(Customers!H4:H63,"&lt;"&amp;550)</f>
        <v>10</v>
      </c>
      <c r="D7" s="12">
        <f>COUNTIFS(Loans!H4:H63,"NPA",Loans!K4:K63,"&lt;550")</f>
        <v>10</v>
      </c>
      <c r="E7" s="27" t="str">
        <f>ROUND(D7/C7*100,1)&amp;"%"</f>
        <v>100%</v>
      </c>
    </row>
  </sheetData>
  <mergeCells count="1">
    <mergeCell ref="B2:E2"/>
  </mergeCells>
  <conditionalFormatting sqref="E4:E5">
    <cfRule type="expression" dxfId="10" priority="1">
      <formula>VALUE(LEFT(E4,LEN(E4)-1))&lt;20</formula>
    </cfRule>
  </conditionalFormatting>
  <conditionalFormatting sqref="E4:E7">
    <cfRule type="expression" dxfId="9" priority="2">
      <formula>VALUE(LEFT(E4,LEN(E4)-1))&gt;=40</formula>
    </cfRule>
    <cfRule type="expression" dxfId="8" priority="3">
      <formula>VALUE(LEFT(E4,LEN(E4)-1))&gt;=40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F780-7675-4F2C-9051-EDD682AD4593}">
  <dimension ref="B2:O21"/>
  <sheetViews>
    <sheetView showGridLines="0" workbookViewId="0">
      <selection activeCell="O12" sqref="O12"/>
    </sheetView>
  </sheetViews>
  <sheetFormatPr defaultRowHeight="14.6"/>
  <cols>
    <col min="1" max="1" width="1.84375" customWidth="1"/>
    <col min="2" max="2" width="10.23046875" bestFit="1" customWidth="1"/>
    <col min="3" max="3" width="8.3828125" bestFit="1" customWidth="1"/>
    <col min="10" max="10" width="12" bestFit="1" customWidth="1"/>
    <col min="15" max="15" width="11.69140625" bestFit="1" customWidth="1"/>
  </cols>
  <sheetData>
    <row r="2" spans="2:15">
      <c r="B2" s="99" t="s">
        <v>144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</row>
    <row r="3" spans="2:15"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</row>
    <row r="5" spans="2:15" ht="15.45">
      <c r="B5" s="100" t="s">
        <v>145</v>
      </c>
      <c r="C5" s="100"/>
      <c r="D5" s="100"/>
      <c r="E5" s="100"/>
      <c r="F5" s="100"/>
      <c r="G5" s="100"/>
      <c r="H5" s="28"/>
      <c r="I5" s="28"/>
      <c r="J5" s="97" t="s">
        <v>146</v>
      </c>
      <c r="K5" s="98"/>
      <c r="L5" s="98"/>
      <c r="M5" s="98"/>
      <c r="N5" s="98"/>
      <c r="O5" s="98"/>
    </row>
    <row r="6" spans="2:15" ht="42.45">
      <c r="B6" s="39" t="s">
        <v>3</v>
      </c>
      <c r="C6" s="39" t="s">
        <v>147</v>
      </c>
      <c r="D6" s="39" t="s">
        <v>148</v>
      </c>
      <c r="E6" s="39" t="s">
        <v>123</v>
      </c>
      <c r="F6" s="39" t="s">
        <v>133</v>
      </c>
      <c r="G6" s="39" t="s">
        <v>149</v>
      </c>
      <c r="H6" s="28"/>
      <c r="I6" s="28"/>
      <c r="J6" s="40" t="s">
        <v>6</v>
      </c>
      <c r="K6" s="40" t="s">
        <v>147</v>
      </c>
      <c r="L6" s="40" t="s">
        <v>148</v>
      </c>
      <c r="M6" s="40" t="s">
        <v>133</v>
      </c>
      <c r="N6" s="40" t="s">
        <v>150</v>
      </c>
      <c r="O6" s="40" t="s">
        <v>151</v>
      </c>
    </row>
    <row r="7" spans="2:15">
      <c r="B7" s="29" t="s">
        <v>37</v>
      </c>
      <c r="C7" s="30">
        <v>6</v>
      </c>
      <c r="D7" s="31">
        <v>1.25</v>
      </c>
      <c r="E7" s="30">
        <v>0</v>
      </c>
      <c r="F7" s="37">
        <v>0</v>
      </c>
      <c r="G7" s="41">
        <v>843</v>
      </c>
      <c r="H7" s="28"/>
      <c r="I7" s="28"/>
      <c r="J7" s="42" t="s">
        <v>13</v>
      </c>
      <c r="K7" s="41">
        <v>15</v>
      </c>
      <c r="L7" s="43">
        <v>2.6</v>
      </c>
      <c r="M7" s="32">
        <v>20</v>
      </c>
      <c r="N7" s="41">
        <v>673</v>
      </c>
      <c r="O7" s="47">
        <v>164333</v>
      </c>
    </row>
    <row r="8" spans="2:15">
      <c r="B8" s="33" t="s">
        <v>33</v>
      </c>
      <c r="C8" s="34">
        <v>6</v>
      </c>
      <c r="D8" s="35">
        <v>1.1599999999999999</v>
      </c>
      <c r="E8" s="34">
        <v>0</v>
      </c>
      <c r="F8" s="38">
        <v>0</v>
      </c>
      <c r="G8" s="44">
        <v>740</v>
      </c>
      <c r="H8" s="28"/>
      <c r="I8" s="28"/>
      <c r="J8" s="45" t="s">
        <v>10</v>
      </c>
      <c r="K8" s="44">
        <v>41</v>
      </c>
      <c r="L8" s="46">
        <v>5.52</v>
      </c>
      <c r="M8" s="36">
        <v>17.100000000000001</v>
      </c>
      <c r="N8" s="44">
        <v>718</v>
      </c>
      <c r="O8" s="48">
        <v>174317</v>
      </c>
    </row>
    <row r="9" spans="2:15">
      <c r="B9" s="29" t="s">
        <v>12</v>
      </c>
      <c r="C9" s="30">
        <v>5</v>
      </c>
      <c r="D9" s="31">
        <v>0.96</v>
      </c>
      <c r="E9" s="30">
        <v>0</v>
      </c>
      <c r="F9" s="37">
        <v>0</v>
      </c>
      <c r="G9" s="41">
        <v>758</v>
      </c>
      <c r="H9" s="28"/>
      <c r="I9" s="28"/>
      <c r="J9" s="42" t="s">
        <v>17</v>
      </c>
      <c r="K9" s="41">
        <v>14</v>
      </c>
      <c r="L9" s="43">
        <v>0.95</v>
      </c>
      <c r="M9" s="32">
        <v>42.9</v>
      </c>
      <c r="N9" s="41">
        <v>603</v>
      </c>
      <c r="O9" s="47">
        <v>107929</v>
      </c>
    </row>
    <row r="10" spans="2:15">
      <c r="B10" s="33" t="s">
        <v>21</v>
      </c>
      <c r="C10" s="34">
        <v>5</v>
      </c>
      <c r="D10" s="35">
        <v>0.92</v>
      </c>
      <c r="E10" s="34">
        <v>0</v>
      </c>
      <c r="F10" s="38">
        <v>0</v>
      </c>
      <c r="G10" s="44">
        <v>756</v>
      </c>
      <c r="H10" s="28"/>
      <c r="I10" s="28"/>
      <c r="J10" s="28"/>
      <c r="K10" s="28"/>
      <c r="L10" s="28"/>
      <c r="M10" s="28"/>
      <c r="N10" s="28"/>
      <c r="O10" s="28"/>
    </row>
    <row r="11" spans="2:15">
      <c r="B11" s="29" t="s">
        <v>15</v>
      </c>
      <c r="C11" s="30">
        <v>5</v>
      </c>
      <c r="D11" s="31">
        <v>0.78</v>
      </c>
      <c r="E11" s="30">
        <v>1</v>
      </c>
      <c r="F11" s="37">
        <v>20</v>
      </c>
      <c r="G11" s="41">
        <v>786</v>
      </c>
      <c r="H11" s="28"/>
      <c r="I11" s="28"/>
      <c r="J11" s="28"/>
      <c r="K11" s="28"/>
      <c r="L11" s="28"/>
      <c r="M11" s="28"/>
      <c r="N11" s="28"/>
      <c r="O11" s="28"/>
    </row>
    <row r="12" spans="2:15">
      <c r="B12" s="33" t="s">
        <v>9</v>
      </c>
      <c r="C12" s="34">
        <v>5</v>
      </c>
      <c r="D12" s="35">
        <v>0.68</v>
      </c>
      <c r="E12" s="34">
        <v>1</v>
      </c>
      <c r="F12" s="38">
        <v>20</v>
      </c>
      <c r="G12" s="44">
        <v>742</v>
      </c>
      <c r="H12" s="28"/>
      <c r="I12" s="28"/>
      <c r="J12" s="28"/>
      <c r="K12" s="28"/>
      <c r="L12" s="28"/>
      <c r="M12" s="28"/>
      <c r="N12" s="28"/>
      <c r="O12" s="28"/>
    </row>
    <row r="13" spans="2:15">
      <c r="B13" s="29" t="s">
        <v>23</v>
      </c>
      <c r="C13" s="30">
        <v>4</v>
      </c>
      <c r="D13" s="31">
        <v>0.59</v>
      </c>
      <c r="E13" s="30">
        <v>0</v>
      </c>
      <c r="F13" s="37">
        <v>0</v>
      </c>
      <c r="G13" s="41">
        <v>720</v>
      </c>
      <c r="H13" s="28"/>
      <c r="I13" s="28"/>
      <c r="J13" s="28"/>
      <c r="K13" s="28"/>
      <c r="L13" s="28"/>
      <c r="M13" s="28"/>
      <c r="N13" s="28"/>
      <c r="O13" s="28"/>
    </row>
    <row r="14" spans="2:15">
      <c r="B14" s="33" t="s">
        <v>66</v>
      </c>
      <c r="C14" s="34">
        <v>2</v>
      </c>
      <c r="D14" s="35">
        <v>0.37</v>
      </c>
      <c r="E14" s="34">
        <v>0</v>
      </c>
      <c r="F14" s="38">
        <v>0</v>
      </c>
      <c r="G14" s="44">
        <v>745</v>
      </c>
      <c r="H14" s="28"/>
      <c r="I14" s="28"/>
      <c r="J14" s="28"/>
      <c r="K14" s="28"/>
      <c r="L14" s="28"/>
      <c r="M14" s="28"/>
      <c r="N14" s="28"/>
      <c r="O14" s="28"/>
    </row>
    <row r="15" spans="2:15">
      <c r="B15" s="29" t="s">
        <v>35</v>
      </c>
      <c r="C15" s="30">
        <v>2</v>
      </c>
      <c r="D15" s="31">
        <v>0.26</v>
      </c>
      <c r="E15" s="30">
        <v>0</v>
      </c>
      <c r="F15" s="37">
        <v>0</v>
      </c>
      <c r="G15" s="41">
        <v>680</v>
      </c>
      <c r="H15" s="28"/>
      <c r="I15" s="28"/>
      <c r="J15" s="28"/>
      <c r="K15" s="28"/>
      <c r="L15" s="28"/>
      <c r="M15" s="28"/>
      <c r="N15" s="28"/>
      <c r="O15" s="28"/>
    </row>
    <row r="16" spans="2:15">
      <c r="B16" s="33" t="s">
        <v>75</v>
      </c>
      <c r="C16" s="34">
        <v>2</v>
      </c>
      <c r="D16" s="35">
        <v>0.22</v>
      </c>
      <c r="E16" s="34">
        <v>0</v>
      </c>
      <c r="F16" s="38">
        <v>0</v>
      </c>
      <c r="G16" s="44">
        <v>655</v>
      </c>
      <c r="H16" s="28"/>
      <c r="I16" s="28"/>
      <c r="J16" s="28"/>
      <c r="K16" s="28"/>
      <c r="L16" s="28"/>
      <c r="M16" s="28"/>
      <c r="N16" s="28"/>
      <c r="O16" s="28"/>
    </row>
    <row r="17" spans="2:15">
      <c r="B17" s="29" t="s">
        <v>53</v>
      </c>
      <c r="C17" s="30">
        <v>2</v>
      </c>
      <c r="D17" s="31">
        <v>0.2</v>
      </c>
      <c r="E17" s="30">
        <v>0</v>
      </c>
      <c r="F17" s="37">
        <v>0</v>
      </c>
      <c r="G17" s="41">
        <v>645</v>
      </c>
      <c r="H17" s="28"/>
      <c r="I17" s="28"/>
      <c r="J17" s="28"/>
      <c r="K17" s="28"/>
      <c r="L17" s="28"/>
      <c r="M17" s="28"/>
      <c r="N17" s="28"/>
      <c r="O17" s="28"/>
    </row>
    <row r="18" spans="2:15">
      <c r="B18" s="33" t="s">
        <v>25</v>
      </c>
      <c r="C18" s="34">
        <v>2</v>
      </c>
      <c r="D18" s="35">
        <v>0.2</v>
      </c>
      <c r="E18" s="34">
        <v>0</v>
      </c>
      <c r="F18" s="38">
        <v>0</v>
      </c>
      <c r="G18" s="44">
        <v>655</v>
      </c>
    </row>
    <row r="19" spans="2:15">
      <c r="B19" s="29" t="s">
        <v>85</v>
      </c>
      <c r="C19" s="30">
        <v>1</v>
      </c>
      <c r="D19" s="31">
        <v>0.18</v>
      </c>
      <c r="E19" s="30">
        <v>0</v>
      </c>
      <c r="F19" s="37">
        <v>0</v>
      </c>
      <c r="G19" s="41">
        <v>700</v>
      </c>
    </row>
    <row r="20" spans="2:15">
      <c r="B20" s="33" t="s">
        <v>58</v>
      </c>
      <c r="C20" s="34">
        <v>1</v>
      </c>
      <c r="D20" s="35">
        <v>0.17</v>
      </c>
      <c r="E20" s="34">
        <v>0</v>
      </c>
      <c r="F20" s="38">
        <v>0</v>
      </c>
      <c r="G20" s="44">
        <v>760</v>
      </c>
    </row>
    <row r="21" spans="2:15">
      <c r="B21" s="29" t="s">
        <v>50</v>
      </c>
      <c r="C21" s="30">
        <v>2</v>
      </c>
      <c r="D21" s="31">
        <v>0.15</v>
      </c>
      <c r="E21" s="30">
        <v>0</v>
      </c>
      <c r="F21" s="37">
        <v>0</v>
      </c>
      <c r="G21" s="41">
        <v>605</v>
      </c>
    </row>
  </sheetData>
  <mergeCells count="3">
    <mergeCell ref="J5:O5"/>
    <mergeCell ref="B2:O3"/>
    <mergeCell ref="B5:G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FF667-C996-4BC8-9296-50DB15A15F61}">
  <dimension ref="B2:AA47"/>
  <sheetViews>
    <sheetView showGridLines="0" workbookViewId="0">
      <selection activeCell="J7" sqref="J7"/>
    </sheetView>
  </sheetViews>
  <sheetFormatPr defaultRowHeight="14.6"/>
  <cols>
    <col min="1" max="1" width="1.84375" customWidth="1"/>
    <col min="3" max="3" width="14.3828125" bestFit="1" customWidth="1"/>
    <col min="4" max="4" width="9.765625" bestFit="1" customWidth="1"/>
    <col min="5" max="5" width="12.69140625" bestFit="1" customWidth="1"/>
    <col min="6" max="6" width="11.765625" bestFit="1" customWidth="1"/>
    <col min="8" max="8" width="12.3828125" customWidth="1"/>
    <col min="9" max="9" width="14.765625" customWidth="1"/>
    <col min="12" max="12" width="9.3828125" bestFit="1" customWidth="1"/>
    <col min="13" max="13" width="10.4609375" customWidth="1"/>
    <col min="15" max="15" width="7.921875" bestFit="1" customWidth="1"/>
    <col min="16" max="16" width="16.84375" bestFit="1" customWidth="1"/>
    <col min="17" max="17" width="11.3828125" bestFit="1" customWidth="1"/>
    <col min="18" max="18" width="12" bestFit="1" customWidth="1"/>
    <col min="19" max="20" width="10.3046875" bestFit="1" customWidth="1"/>
    <col min="22" max="22" width="13.61328125" bestFit="1" customWidth="1"/>
  </cols>
  <sheetData>
    <row r="2" spans="2:27" ht="14.6" customHeight="1">
      <c r="B2" s="104" t="s">
        <v>152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28"/>
      <c r="X2" s="28"/>
      <c r="Y2" s="28"/>
      <c r="Z2" s="28"/>
      <c r="AA2" s="28"/>
    </row>
    <row r="3" spans="2:27"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28"/>
      <c r="X3" s="28"/>
      <c r="Y3" s="28"/>
      <c r="Z3" s="28"/>
      <c r="AA3" s="28"/>
    </row>
    <row r="5" spans="2:27" ht="15.45">
      <c r="B5" s="101" t="s">
        <v>153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O5" s="103" t="s">
        <v>160</v>
      </c>
      <c r="P5" s="103"/>
      <c r="Q5" s="103"/>
      <c r="R5" s="103"/>
      <c r="S5" s="103"/>
      <c r="T5" s="103"/>
      <c r="U5" s="103"/>
      <c r="V5" s="103"/>
    </row>
    <row r="6" spans="2:27" ht="42.45">
      <c r="B6" s="49" t="s">
        <v>154</v>
      </c>
      <c r="C6" s="49" t="s">
        <v>2</v>
      </c>
      <c r="D6" s="49" t="s">
        <v>3</v>
      </c>
      <c r="E6" s="49" t="s">
        <v>6</v>
      </c>
      <c r="F6" s="49" t="s">
        <v>155</v>
      </c>
      <c r="G6" s="49" t="s">
        <v>7</v>
      </c>
      <c r="H6" s="49" t="s">
        <v>101</v>
      </c>
      <c r="I6" s="49" t="s">
        <v>156</v>
      </c>
      <c r="J6" s="49" t="s">
        <v>157</v>
      </c>
      <c r="K6" s="49" t="s">
        <v>105</v>
      </c>
      <c r="L6" s="49" t="s">
        <v>158</v>
      </c>
      <c r="M6" s="49" t="s">
        <v>159</v>
      </c>
      <c r="O6" s="53" t="s">
        <v>154</v>
      </c>
      <c r="P6" s="53" t="s">
        <v>2</v>
      </c>
      <c r="Q6" s="53" t="s">
        <v>3</v>
      </c>
      <c r="R6" s="53" t="s">
        <v>6</v>
      </c>
      <c r="S6" s="53" t="s">
        <v>161</v>
      </c>
      <c r="T6" s="53" t="s">
        <v>162</v>
      </c>
      <c r="U6" s="53" t="s">
        <v>163</v>
      </c>
      <c r="V6" s="53" t="s">
        <v>164</v>
      </c>
    </row>
    <row r="7" spans="2:27">
      <c r="B7" s="50">
        <f>Loans!C7</f>
        <v>111104</v>
      </c>
      <c r="C7" s="11" t="str">
        <f>Customers!C7</f>
        <v>Ram Mohan Rao</v>
      </c>
      <c r="D7" s="11" t="str">
        <f>Customers!D7</f>
        <v>Hyderabad</v>
      </c>
      <c r="E7" s="11" t="str">
        <f>Customers!G7</f>
        <v>Self-Employed</v>
      </c>
      <c r="F7" s="16">
        <f>Customers!E7</f>
        <v>100000</v>
      </c>
      <c r="G7" s="51">
        <f>Customers!H7</f>
        <v>590</v>
      </c>
      <c r="H7" s="11" t="str">
        <f>Loans!D7</f>
        <v>Personal Loan</v>
      </c>
      <c r="I7" s="16">
        <f>Loans!E7</f>
        <v>1200000</v>
      </c>
      <c r="J7" s="4">
        <f>Loans!F7</f>
        <v>8.1999999999999993</v>
      </c>
      <c r="K7" s="11" t="str">
        <f>Loans!H7</f>
        <v>NPA</v>
      </c>
      <c r="L7" s="52">
        <f>I7/F7</f>
        <v>12</v>
      </c>
      <c r="M7" s="27" t="str">
        <f>IF(AND(G7&lt;550, L7&gt;10), "CRITICAL", IF(AND(G7&lt;600, L7&gt;5), "CRITICAL", "HIGH RISK"))</f>
        <v>CRITICAL</v>
      </c>
      <c r="O7" s="54">
        <v>111119</v>
      </c>
      <c r="P7" s="55" t="s">
        <v>43</v>
      </c>
      <c r="Q7" s="55" t="s">
        <v>33</v>
      </c>
      <c r="R7" s="55" t="s">
        <v>13</v>
      </c>
      <c r="S7" s="16">
        <v>17500</v>
      </c>
      <c r="T7" s="16">
        <v>40740</v>
      </c>
      <c r="U7" s="11" t="str">
        <f>ROUND(T7 / S7 * 100, 1)&amp;"%"</f>
        <v>232.8%</v>
      </c>
      <c r="V7" s="26" t="str">
        <f>IF(VALUE(LEFT(U7,LEN(U7)-1))&gt;100,"Over-leveraged",IF(VALUE(LEFT(U7,LEN(U7)-1))&gt;60,"Stressed","Healthy"))</f>
        <v>Over-leveraged</v>
      </c>
    </row>
    <row r="8" spans="2:27">
      <c r="B8" s="50">
        <f>Loans!C8</f>
        <v>111105</v>
      </c>
      <c r="C8" s="11" t="str">
        <f>Customers!C8</f>
        <v>Siddharth Singh</v>
      </c>
      <c r="D8" s="11" t="str">
        <f>Customers!D8</f>
        <v>Patna</v>
      </c>
      <c r="E8" s="11" t="str">
        <f>Customers!G8</f>
        <v>Salaried</v>
      </c>
      <c r="F8" s="16">
        <f>Customers!E8</f>
        <v>50000</v>
      </c>
      <c r="G8" s="51">
        <f>Customers!H8</f>
        <v>480</v>
      </c>
      <c r="H8" s="11" t="str">
        <f>Loans!D8</f>
        <v>Personal Loan</v>
      </c>
      <c r="I8" s="16">
        <f>Loans!E8</f>
        <v>500000</v>
      </c>
      <c r="J8" s="4">
        <f>Loans!F8</f>
        <v>12.5</v>
      </c>
      <c r="K8" s="11" t="str">
        <f>Loans!H8</f>
        <v>NPA</v>
      </c>
      <c r="L8" s="52">
        <f t="shared" ref="L8:L22" si="0">I8/F8</f>
        <v>10</v>
      </c>
      <c r="M8" s="27" t="str">
        <f t="shared" ref="M8:M22" si="1">IF(AND(G8&lt;550, L8&gt;10), "CRITICAL", IF(AND(G8&lt;600, L8&gt;5), "CRITICAL", "HIGH RISK"))</f>
        <v>CRITICAL</v>
      </c>
      <c r="O8" s="54">
        <v>111106</v>
      </c>
      <c r="P8" s="55" t="s">
        <v>20</v>
      </c>
      <c r="Q8" s="55" t="s">
        <v>21</v>
      </c>
      <c r="R8" s="55" t="s">
        <v>13</v>
      </c>
      <c r="S8" s="16">
        <v>20833</v>
      </c>
      <c r="T8" s="16">
        <v>44770</v>
      </c>
      <c r="U8" s="11" t="str">
        <f t="shared" ref="U8:U47" si="2">ROUND(T8 / S8 * 100, 1)&amp;"%"</f>
        <v>214.9%</v>
      </c>
      <c r="V8" s="26" t="str">
        <f t="shared" ref="V8:V47" si="3">IF(VALUE(LEFT(U8,LEN(U8)-1))&gt;100,"Over-leveraged",IF(VALUE(LEFT(U8,LEN(U8)-1))&gt;60,"Stressed","Healthy"))</f>
        <v>Over-leveraged</v>
      </c>
    </row>
    <row r="9" spans="2:27">
      <c r="B9" s="50">
        <f>Loans!C12</f>
        <v>111109</v>
      </c>
      <c r="C9" s="11" t="str">
        <f>Customers!C12</f>
        <v>Sameer Hussain</v>
      </c>
      <c r="D9" s="11" t="str">
        <f>Customers!D12</f>
        <v>Raipur</v>
      </c>
      <c r="E9" s="11" t="str">
        <f>Customers!G12</f>
        <v>Salaried</v>
      </c>
      <c r="F9" s="16">
        <f>Customers!E12</f>
        <v>60000</v>
      </c>
      <c r="G9" s="51">
        <f>Customers!H12</f>
        <v>430</v>
      </c>
      <c r="H9" s="11" t="str">
        <f>Loans!D12</f>
        <v>Personal Loan</v>
      </c>
      <c r="I9" s="16">
        <f>Loans!E12</f>
        <v>700000</v>
      </c>
      <c r="J9" s="4">
        <f>Loans!F12</f>
        <v>15.5</v>
      </c>
      <c r="K9" s="11" t="str">
        <f>Loans!H12</f>
        <v>NPA</v>
      </c>
      <c r="L9" s="52">
        <f t="shared" si="0"/>
        <v>11.666666666666666</v>
      </c>
      <c r="M9" s="27" t="str">
        <f t="shared" si="1"/>
        <v>CRITICAL</v>
      </c>
      <c r="O9" s="54">
        <v>111113</v>
      </c>
      <c r="P9" s="55" t="s">
        <v>32</v>
      </c>
      <c r="Q9" s="55" t="s">
        <v>33</v>
      </c>
      <c r="R9" s="55" t="s">
        <v>10</v>
      </c>
      <c r="S9" s="16">
        <v>18333</v>
      </c>
      <c r="T9" s="16">
        <v>37690</v>
      </c>
      <c r="U9" s="11" t="str">
        <f t="shared" si="2"/>
        <v>205.6%</v>
      </c>
      <c r="V9" s="26" t="str">
        <f t="shared" si="3"/>
        <v>Over-leveraged</v>
      </c>
    </row>
    <row r="10" spans="2:27">
      <c r="B10" s="50">
        <f>Loans!C19</f>
        <v>111116</v>
      </c>
      <c r="C10" s="11" t="str">
        <f>Customers!C19</f>
        <v>Amit Verma</v>
      </c>
      <c r="D10" s="11" t="str">
        <f>Customers!D19</f>
        <v>Lucknow</v>
      </c>
      <c r="E10" s="11" t="str">
        <f>Customers!G19</f>
        <v>Salaried</v>
      </c>
      <c r="F10" s="16">
        <f>Customers!E19</f>
        <v>90000</v>
      </c>
      <c r="G10" s="51">
        <f>Customers!H19</f>
        <v>560</v>
      </c>
      <c r="H10" s="11" t="str">
        <f>Loans!D19</f>
        <v>Personal Loan</v>
      </c>
      <c r="I10" s="16">
        <f>Loans!E19</f>
        <v>450000</v>
      </c>
      <c r="J10" s="4">
        <f>Loans!F19</f>
        <v>13.5</v>
      </c>
      <c r="K10" s="11" t="str">
        <f>Loans!H19</f>
        <v>NPA</v>
      </c>
      <c r="L10" s="52">
        <f t="shared" si="0"/>
        <v>5</v>
      </c>
      <c r="M10" s="27" t="str">
        <f t="shared" si="1"/>
        <v>HIGH RISK</v>
      </c>
      <c r="O10" s="54">
        <v>111107</v>
      </c>
      <c r="P10" s="55" t="s">
        <v>22</v>
      </c>
      <c r="Q10" s="55" t="s">
        <v>23</v>
      </c>
      <c r="R10" s="55" t="s">
        <v>10</v>
      </c>
      <c r="S10" s="16">
        <v>6250</v>
      </c>
      <c r="T10" s="16">
        <v>12430</v>
      </c>
      <c r="U10" s="11" t="str">
        <f t="shared" si="2"/>
        <v>198.9%</v>
      </c>
      <c r="V10" s="26" t="str">
        <f t="shared" si="3"/>
        <v>Over-leveraged</v>
      </c>
    </row>
    <row r="11" spans="2:27">
      <c r="B11" s="50">
        <f>Loans!C20</f>
        <v>111117</v>
      </c>
      <c r="C11" s="11" t="str">
        <f>Customers!C20</f>
        <v>Rohit Gupta</v>
      </c>
      <c r="D11" s="11" t="str">
        <f>Customers!D20</f>
        <v>Kanpur</v>
      </c>
      <c r="E11" s="11" t="str">
        <f>Customers!G20</f>
        <v>Self-Employed</v>
      </c>
      <c r="F11" s="16">
        <f>Customers!E20</f>
        <v>70000</v>
      </c>
      <c r="G11" s="51">
        <f>Customers!H20</f>
        <v>510</v>
      </c>
      <c r="H11" s="11" t="str">
        <f>Loans!D20</f>
        <v>Auto Loan</v>
      </c>
      <c r="I11" s="16">
        <f>Loans!E20</f>
        <v>580000</v>
      </c>
      <c r="J11" s="4">
        <f>Loans!F20</f>
        <v>15</v>
      </c>
      <c r="K11" s="11" t="str">
        <f>Loans!H20</f>
        <v>NPA</v>
      </c>
      <c r="L11" s="52">
        <f t="shared" si="0"/>
        <v>8.2857142857142865</v>
      </c>
      <c r="M11" s="27" t="str">
        <f t="shared" si="1"/>
        <v>CRITICAL</v>
      </c>
      <c r="O11" s="54">
        <v>111126</v>
      </c>
      <c r="P11" s="55" t="s">
        <v>54</v>
      </c>
      <c r="Q11" s="55" t="s">
        <v>12</v>
      </c>
      <c r="R11" s="55" t="s">
        <v>10</v>
      </c>
      <c r="S11" s="16">
        <v>19167</v>
      </c>
      <c r="T11" s="16">
        <v>32300</v>
      </c>
      <c r="U11" s="11" t="str">
        <f t="shared" si="2"/>
        <v>168.5%</v>
      </c>
      <c r="V11" s="26" t="str">
        <f t="shared" si="3"/>
        <v>Over-leveraged</v>
      </c>
    </row>
    <row r="12" spans="2:27">
      <c r="B12" s="50">
        <f>Loans!C24</f>
        <v>111121</v>
      </c>
      <c r="C12" s="11" t="str">
        <f>Customers!C24</f>
        <v>Manish Tiwari</v>
      </c>
      <c r="D12" s="11" t="str">
        <f>Customers!D24</f>
        <v>Bhopal</v>
      </c>
      <c r="E12" s="11" t="str">
        <f>Customers!G24</f>
        <v>Self-Employed</v>
      </c>
      <c r="F12" s="16">
        <f>Customers!E24</f>
        <v>85000</v>
      </c>
      <c r="G12" s="51">
        <f>Customers!H24</f>
        <v>580</v>
      </c>
      <c r="H12" s="11" t="str">
        <f>Loans!D24</f>
        <v>Education Loan</v>
      </c>
      <c r="I12" s="16">
        <f>Loans!E24</f>
        <v>1020000</v>
      </c>
      <c r="J12" s="4">
        <f>Loans!F24</f>
        <v>14</v>
      </c>
      <c r="K12" s="11" t="str">
        <f>Loans!H24</f>
        <v>NPA</v>
      </c>
      <c r="L12" s="52">
        <f t="shared" si="0"/>
        <v>12</v>
      </c>
      <c r="M12" s="27" t="str">
        <f t="shared" si="1"/>
        <v>CRITICAL</v>
      </c>
      <c r="O12" s="54">
        <v>111137</v>
      </c>
      <c r="P12" s="55" t="s">
        <v>71</v>
      </c>
      <c r="Q12" s="55" t="s">
        <v>37</v>
      </c>
      <c r="R12" s="55" t="s">
        <v>10</v>
      </c>
      <c r="S12" s="16">
        <v>21667</v>
      </c>
      <c r="T12" s="16">
        <v>36070</v>
      </c>
      <c r="U12" s="11" t="str">
        <f t="shared" si="2"/>
        <v>166.5%</v>
      </c>
      <c r="V12" s="26" t="str">
        <f t="shared" si="3"/>
        <v>Over-leveraged</v>
      </c>
    </row>
    <row r="13" spans="2:27">
      <c r="B13" s="50">
        <f>Loans!C30</f>
        <v>111127</v>
      </c>
      <c r="C13" s="11" t="str">
        <f>Customers!C30</f>
        <v>Vijay Patil</v>
      </c>
      <c r="D13" s="11" t="str">
        <f>Customers!D30</f>
        <v>Nashik</v>
      </c>
      <c r="E13" s="11" t="str">
        <f>Customers!G30</f>
        <v>Business</v>
      </c>
      <c r="F13" s="16">
        <f>Customers!E30</f>
        <v>80000</v>
      </c>
      <c r="G13" s="51">
        <f>Customers!H30</f>
        <v>520</v>
      </c>
      <c r="H13" s="11" t="str">
        <f>Loans!D30</f>
        <v>Business Loan</v>
      </c>
      <c r="I13" s="16">
        <f>Loans!E30</f>
        <v>900000</v>
      </c>
      <c r="J13" s="4">
        <f>Loans!F30</f>
        <v>12</v>
      </c>
      <c r="K13" s="11" t="str">
        <f>Loans!H30</f>
        <v>NPA</v>
      </c>
      <c r="L13" s="52">
        <f t="shared" si="0"/>
        <v>11.25</v>
      </c>
      <c r="M13" s="27" t="str">
        <f t="shared" si="1"/>
        <v>CRITICAL</v>
      </c>
      <c r="O13" s="54">
        <v>111111</v>
      </c>
      <c r="P13" s="55" t="s">
        <v>30</v>
      </c>
      <c r="Q13" s="55" t="s">
        <v>15</v>
      </c>
      <c r="R13" s="55" t="s">
        <v>10</v>
      </c>
      <c r="S13" s="16">
        <v>25000</v>
      </c>
      <c r="T13" s="16">
        <v>41110</v>
      </c>
      <c r="U13" s="11" t="str">
        <f t="shared" si="2"/>
        <v>164.4%</v>
      </c>
      <c r="V13" s="26" t="str">
        <f t="shared" si="3"/>
        <v>Over-leveraged</v>
      </c>
    </row>
    <row r="14" spans="2:27">
      <c r="B14" s="50">
        <f>Loans!C33</f>
        <v>111130</v>
      </c>
      <c r="C14" s="11" t="str">
        <f>Customers!C33</f>
        <v>Meena Kumari</v>
      </c>
      <c r="D14" s="11" t="str">
        <f>Customers!D33</f>
        <v>Patna</v>
      </c>
      <c r="E14" s="11" t="str">
        <f>Customers!G33</f>
        <v>Salaried</v>
      </c>
      <c r="F14" s="16">
        <f>Customers!E33</f>
        <v>55000</v>
      </c>
      <c r="G14" s="51">
        <f>Customers!H33</f>
        <v>460</v>
      </c>
      <c r="H14" s="11" t="str">
        <f>Loans!D33</f>
        <v>Personal Loan</v>
      </c>
      <c r="I14" s="16">
        <f>Loans!E33</f>
        <v>280000</v>
      </c>
      <c r="J14" s="4">
        <f>Loans!F33</f>
        <v>14.5</v>
      </c>
      <c r="K14" s="11" t="str">
        <f>Loans!H33</f>
        <v>NPA</v>
      </c>
      <c r="L14" s="52">
        <f t="shared" si="0"/>
        <v>5.0909090909090908</v>
      </c>
      <c r="M14" s="27" t="str">
        <f t="shared" si="1"/>
        <v>CRITICAL</v>
      </c>
      <c r="O14" s="54">
        <v>111101</v>
      </c>
      <c r="P14" s="55" t="s">
        <v>8</v>
      </c>
      <c r="Q14" s="55" t="s">
        <v>9</v>
      </c>
      <c r="R14" s="55" t="s">
        <v>10</v>
      </c>
      <c r="S14" s="16">
        <v>16667</v>
      </c>
      <c r="T14" s="16">
        <v>26930</v>
      </c>
      <c r="U14" s="11" t="str">
        <f t="shared" si="2"/>
        <v>161.6%</v>
      </c>
      <c r="V14" s="26" t="str">
        <f t="shared" si="3"/>
        <v>Over-leveraged</v>
      </c>
    </row>
    <row r="15" spans="2:27">
      <c r="B15" s="50">
        <f>Loans!C34</f>
        <v>111131</v>
      </c>
      <c r="C15" s="11" t="str">
        <f>Customers!C34</f>
        <v>Sanjay Dubey</v>
      </c>
      <c r="D15" s="11" t="str">
        <f>Customers!D34</f>
        <v>Varanasi</v>
      </c>
      <c r="E15" s="11" t="str">
        <f>Customers!G34</f>
        <v>Business</v>
      </c>
      <c r="F15" s="16">
        <f>Customers!E34</f>
        <v>95000</v>
      </c>
      <c r="G15" s="51">
        <f>Customers!H34</f>
        <v>570</v>
      </c>
      <c r="H15" s="11" t="str">
        <f>Loans!D34</f>
        <v>Business Loan</v>
      </c>
      <c r="I15" s="16">
        <f>Loans!E34</f>
        <v>750000</v>
      </c>
      <c r="J15" s="4">
        <f>Loans!F34</f>
        <v>11.5</v>
      </c>
      <c r="K15" s="11" t="str">
        <f>Loans!H34</f>
        <v>NPA</v>
      </c>
      <c r="L15" s="52">
        <f t="shared" si="0"/>
        <v>7.8947368421052628</v>
      </c>
      <c r="M15" s="27" t="str">
        <f t="shared" si="1"/>
        <v>CRITICAL</v>
      </c>
      <c r="O15" s="54">
        <v>111152</v>
      </c>
      <c r="P15" s="55" t="s">
        <v>88</v>
      </c>
      <c r="Q15" s="55" t="s">
        <v>37</v>
      </c>
      <c r="R15" s="55" t="s">
        <v>10</v>
      </c>
      <c r="S15" s="16">
        <v>24167</v>
      </c>
      <c r="T15" s="16">
        <v>36140</v>
      </c>
      <c r="U15" s="11" t="str">
        <f t="shared" si="2"/>
        <v>149.5%</v>
      </c>
      <c r="V15" s="26" t="str">
        <f t="shared" si="3"/>
        <v>Over-leveraged</v>
      </c>
    </row>
    <row r="16" spans="2:27">
      <c r="B16" s="50">
        <f>Loans!C41</f>
        <v>111138</v>
      </c>
      <c r="C16" s="11" t="str">
        <f>Customers!C41</f>
        <v>Fatima Shaikh</v>
      </c>
      <c r="D16" s="11" t="str">
        <f>Customers!D41</f>
        <v>Mumbai</v>
      </c>
      <c r="E16" s="11" t="str">
        <f>Customers!G41</f>
        <v>Self-Employed</v>
      </c>
      <c r="F16" s="16">
        <f>Customers!E41</f>
        <v>110000</v>
      </c>
      <c r="G16" s="51">
        <f>Customers!H41</f>
        <v>590</v>
      </c>
      <c r="H16" s="11" t="str">
        <f>Loans!D41</f>
        <v>Personal Loan</v>
      </c>
      <c r="I16" s="16">
        <f>Loans!E41</f>
        <v>600000</v>
      </c>
      <c r="J16" s="4">
        <f>Loans!F41</f>
        <v>13.5</v>
      </c>
      <c r="K16" s="11" t="str">
        <f>Loans!H41</f>
        <v>NPA</v>
      </c>
      <c r="L16" s="52">
        <f t="shared" si="0"/>
        <v>5.4545454545454541</v>
      </c>
      <c r="M16" s="27" t="str">
        <f t="shared" si="1"/>
        <v>CRITICAL</v>
      </c>
      <c r="O16" s="54">
        <v>111112</v>
      </c>
      <c r="P16" s="55" t="s">
        <v>31</v>
      </c>
      <c r="Q16" s="55" t="s">
        <v>12</v>
      </c>
      <c r="R16" s="55" t="s">
        <v>13</v>
      </c>
      <c r="S16" s="16">
        <v>15000</v>
      </c>
      <c r="T16" s="16">
        <v>21640</v>
      </c>
      <c r="U16" s="11" t="str">
        <f t="shared" si="2"/>
        <v>144.3%</v>
      </c>
      <c r="V16" s="26" t="str">
        <f t="shared" si="3"/>
        <v>Over-leveraged</v>
      </c>
    </row>
    <row r="17" spans="2:22">
      <c r="B17" s="50">
        <f>Loans!C44</f>
        <v>111141</v>
      </c>
      <c r="C17" s="11" t="str">
        <f>Customers!C44</f>
        <v>Mohit Yadav</v>
      </c>
      <c r="D17" s="11" t="str">
        <f>Customers!D44</f>
        <v>Lucknow</v>
      </c>
      <c r="E17" s="11" t="str">
        <f>Customers!G44</f>
        <v>Salaried</v>
      </c>
      <c r="F17" s="16">
        <f>Customers!E44</f>
        <v>72000</v>
      </c>
      <c r="G17" s="51">
        <f>Customers!H44</f>
        <v>500</v>
      </c>
      <c r="H17" s="11" t="str">
        <f>Loans!D44</f>
        <v>Personal Loan</v>
      </c>
      <c r="I17" s="16">
        <f>Loans!E44</f>
        <v>350000</v>
      </c>
      <c r="J17" s="4">
        <f>Loans!F44</f>
        <v>15</v>
      </c>
      <c r="K17" s="11" t="str">
        <f>Loans!H44</f>
        <v>NPA</v>
      </c>
      <c r="L17" s="52">
        <f t="shared" si="0"/>
        <v>4.8611111111111107</v>
      </c>
      <c r="M17" s="27" t="str">
        <f t="shared" si="1"/>
        <v>HIGH RISK</v>
      </c>
      <c r="O17" s="54">
        <v>111150</v>
      </c>
      <c r="P17" s="55" t="s">
        <v>86</v>
      </c>
      <c r="Q17" s="55" t="s">
        <v>50</v>
      </c>
      <c r="R17" s="55" t="s">
        <v>10</v>
      </c>
      <c r="S17" s="16">
        <v>6833</v>
      </c>
      <c r="T17" s="16">
        <v>9540</v>
      </c>
      <c r="U17" s="11" t="str">
        <f t="shared" si="2"/>
        <v>139.6%</v>
      </c>
      <c r="V17" s="26" t="str">
        <f t="shared" si="3"/>
        <v>Over-leveraged</v>
      </c>
    </row>
    <row r="18" spans="2:22">
      <c r="B18" s="50">
        <f>Loans!C46</f>
        <v>111143</v>
      </c>
      <c r="C18" s="11" t="str">
        <f>Customers!C46</f>
        <v>Vivek Mishra</v>
      </c>
      <c r="D18" s="11" t="str">
        <f>Customers!D46</f>
        <v>Allahabad</v>
      </c>
      <c r="E18" s="11" t="str">
        <f>Customers!G46</f>
        <v>Salaried</v>
      </c>
      <c r="F18" s="16">
        <f>Customers!E46</f>
        <v>68000</v>
      </c>
      <c r="G18" s="51">
        <f>Customers!H46</f>
        <v>440</v>
      </c>
      <c r="H18" s="11" t="str">
        <f>Loans!D46</f>
        <v>Personal Loan</v>
      </c>
      <c r="I18" s="16">
        <f>Loans!E46</f>
        <v>300000</v>
      </c>
      <c r="J18" s="4">
        <f>Loans!F46</f>
        <v>14</v>
      </c>
      <c r="K18" s="11" t="str">
        <f>Loans!H46</f>
        <v>NPA</v>
      </c>
      <c r="L18" s="52">
        <f t="shared" si="0"/>
        <v>4.4117647058823533</v>
      </c>
      <c r="M18" s="27" t="str">
        <f t="shared" si="1"/>
        <v>HIGH RISK</v>
      </c>
      <c r="O18" s="54">
        <v>111102</v>
      </c>
      <c r="P18" s="55" t="s">
        <v>11</v>
      </c>
      <c r="Q18" s="55" t="s">
        <v>12</v>
      </c>
      <c r="R18" s="55" t="s">
        <v>13</v>
      </c>
      <c r="S18" s="16">
        <v>12500</v>
      </c>
      <c r="T18" s="16">
        <v>17320</v>
      </c>
      <c r="U18" s="11" t="str">
        <f t="shared" si="2"/>
        <v>138.6%</v>
      </c>
      <c r="V18" s="26" t="str">
        <f t="shared" si="3"/>
        <v>Over-leveraged</v>
      </c>
    </row>
    <row r="19" spans="2:22">
      <c r="B19" s="50">
        <f>Loans!C49</f>
        <v>111146</v>
      </c>
      <c r="C19" s="11" t="str">
        <f>Customers!C49</f>
        <v>Geeta Pandey</v>
      </c>
      <c r="D19" s="11" t="str">
        <f>Customers!D49</f>
        <v>Varanasi</v>
      </c>
      <c r="E19" s="11" t="str">
        <f>Customers!G49</f>
        <v>Self-Employed</v>
      </c>
      <c r="F19" s="16">
        <f>Customers!E49</f>
        <v>62000</v>
      </c>
      <c r="G19" s="51">
        <f>Customers!H49</f>
        <v>470</v>
      </c>
      <c r="H19" s="11" t="str">
        <f>Loans!D49</f>
        <v>Personal Loan</v>
      </c>
      <c r="I19" s="16">
        <f>Loans!E49</f>
        <v>260000</v>
      </c>
      <c r="J19" s="4">
        <f>Loans!F49</f>
        <v>15.5</v>
      </c>
      <c r="K19" s="11" t="str">
        <f>Loans!H49</f>
        <v>NPA</v>
      </c>
      <c r="L19" s="52">
        <f t="shared" si="0"/>
        <v>4.193548387096774</v>
      </c>
      <c r="M19" s="27" t="str">
        <f t="shared" si="1"/>
        <v>HIGH RISK</v>
      </c>
      <c r="O19" s="54">
        <v>111125</v>
      </c>
      <c r="P19" s="55" t="s">
        <v>52</v>
      </c>
      <c r="Q19" s="55" t="s">
        <v>53</v>
      </c>
      <c r="R19" s="55" t="s">
        <v>17</v>
      </c>
      <c r="S19" s="16">
        <v>8750</v>
      </c>
      <c r="T19" s="16">
        <v>11660</v>
      </c>
      <c r="U19" s="11" t="str">
        <f t="shared" si="2"/>
        <v>133.3%</v>
      </c>
      <c r="V19" s="26" t="str">
        <f t="shared" si="3"/>
        <v>Over-leveraged</v>
      </c>
    </row>
    <row r="20" spans="2:22">
      <c r="B20" s="50">
        <f>Loans!C56</f>
        <v>111153</v>
      </c>
      <c r="C20" s="11" t="str">
        <f>Customers!C56</f>
        <v>Praveen Shetty</v>
      </c>
      <c r="D20" s="11" t="str">
        <f>Customers!D56</f>
        <v>Mangalore</v>
      </c>
      <c r="E20" s="11" t="str">
        <f>Customers!G56</f>
        <v>Business</v>
      </c>
      <c r="F20" s="16">
        <f>Customers!E56</f>
        <v>102000</v>
      </c>
      <c r="G20" s="51">
        <f>Customers!H56</f>
        <v>560</v>
      </c>
      <c r="H20" s="11" t="str">
        <f>Loans!D56</f>
        <v>Business Loan</v>
      </c>
      <c r="I20" s="16">
        <f>Loans!E56</f>
        <v>1020000</v>
      </c>
      <c r="J20" s="4">
        <f>Loans!F56</f>
        <v>11</v>
      </c>
      <c r="K20" s="11" t="str">
        <f>Loans!H56</f>
        <v>NPA</v>
      </c>
      <c r="L20" s="52">
        <f t="shared" si="0"/>
        <v>10</v>
      </c>
      <c r="M20" s="27" t="str">
        <f t="shared" si="1"/>
        <v>CRITICAL</v>
      </c>
      <c r="O20" s="54">
        <v>111145</v>
      </c>
      <c r="P20" s="55" t="s">
        <v>80</v>
      </c>
      <c r="Q20" s="55" t="s">
        <v>25</v>
      </c>
      <c r="R20" s="55" t="s">
        <v>13</v>
      </c>
      <c r="S20" s="16">
        <v>8167</v>
      </c>
      <c r="T20" s="16">
        <v>10280</v>
      </c>
      <c r="U20" s="11" t="str">
        <f t="shared" si="2"/>
        <v>125.9%</v>
      </c>
      <c r="V20" s="26" t="str">
        <f t="shared" si="3"/>
        <v>Over-leveraged</v>
      </c>
    </row>
    <row r="21" spans="2:22">
      <c r="B21" s="50">
        <f>Loans!C58</f>
        <v>111155</v>
      </c>
      <c r="C21" s="11" t="str">
        <f>Customers!C58</f>
        <v>Saurabh Tiwari</v>
      </c>
      <c r="D21" s="11" t="str">
        <f>Customers!D58</f>
        <v>Bhopal</v>
      </c>
      <c r="E21" s="11" t="str">
        <f>Customers!G58</f>
        <v>Self-Employed</v>
      </c>
      <c r="F21" s="16">
        <f>Customers!E58</f>
        <v>78000</v>
      </c>
      <c r="G21" s="51">
        <f>Customers!H58</f>
        <v>530</v>
      </c>
      <c r="H21" s="11" t="str">
        <f>Loans!D58</f>
        <v>Personal Loan</v>
      </c>
      <c r="I21" s="16">
        <f>Loans!E58</f>
        <v>390000</v>
      </c>
      <c r="J21" s="4">
        <f>Loans!F58</f>
        <v>14.5</v>
      </c>
      <c r="K21" s="11" t="str">
        <f>Loans!H58</f>
        <v>NPA</v>
      </c>
      <c r="L21" s="52">
        <f t="shared" si="0"/>
        <v>5</v>
      </c>
      <c r="M21" s="27" t="str">
        <f t="shared" si="1"/>
        <v>HIGH RISK</v>
      </c>
      <c r="O21" s="54">
        <v>111108</v>
      </c>
      <c r="P21" s="55" t="s">
        <v>24</v>
      </c>
      <c r="Q21" s="55" t="s">
        <v>25</v>
      </c>
      <c r="R21" s="55" t="s">
        <v>17</v>
      </c>
      <c r="S21" s="16">
        <v>8333</v>
      </c>
      <c r="T21" s="16">
        <v>10440</v>
      </c>
      <c r="U21" s="11" t="str">
        <f t="shared" si="2"/>
        <v>125.3%</v>
      </c>
      <c r="V21" s="26" t="str">
        <f t="shared" si="3"/>
        <v>Over-leveraged</v>
      </c>
    </row>
    <row r="22" spans="2:22">
      <c r="B22" s="50">
        <f>Loans!C59</f>
        <v>111156</v>
      </c>
      <c r="C22" s="11" t="str">
        <f>Customers!C59</f>
        <v>Kamla Devi</v>
      </c>
      <c r="D22" s="11" t="str">
        <f>Customers!D59</f>
        <v>Patna</v>
      </c>
      <c r="E22" s="11" t="str">
        <f>Customers!G59</f>
        <v>Salaried</v>
      </c>
      <c r="F22" s="16">
        <f>Customers!E59</f>
        <v>52000</v>
      </c>
      <c r="G22" s="51">
        <f>Customers!H59</f>
        <v>410</v>
      </c>
      <c r="H22" s="11" t="str">
        <f>Loans!D59</f>
        <v>Personal Loan</v>
      </c>
      <c r="I22" s="16">
        <f>Loans!E59</f>
        <v>220000</v>
      </c>
      <c r="J22" s="4">
        <f>Loans!F59</f>
        <v>15.5</v>
      </c>
      <c r="K22" s="11" t="str">
        <f>Loans!H59</f>
        <v>NPA</v>
      </c>
      <c r="L22" s="52">
        <f t="shared" si="0"/>
        <v>4.2307692307692308</v>
      </c>
      <c r="M22" s="27" t="str">
        <f t="shared" si="1"/>
        <v>HIGH RISK</v>
      </c>
      <c r="O22" s="54">
        <v>111140</v>
      </c>
      <c r="P22" s="55" t="s">
        <v>74</v>
      </c>
      <c r="Q22" s="55" t="s">
        <v>75</v>
      </c>
      <c r="R22" s="55" t="s">
        <v>13</v>
      </c>
      <c r="S22" s="16">
        <v>12917</v>
      </c>
      <c r="T22" s="16">
        <v>15640</v>
      </c>
      <c r="U22" s="11" t="str">
        <f t="shared" si="2"/>
        <v>121.1%</v>
      </c>
      <c r="V22" s="26" t="str">
        <f t="shared" si="3"/>
        <v>Over-leveraged</v>
      </c>
    </row>
    <row r="23" spans="2:22">
      <c r="O23" s="54">
        <v>111129</v>
      </c>
      <c r="P23" s="55" t="s">
        <v>59</v>
      </c>
      <c r="Q23" s="55" t="s">
        <v>60</v>
      </c>
      <c r="R23" s="55" t="s">
        <v>17</v>
      </c>
      <c r="S23" s="16">
        <v>10417</v>
      </c>
      <c r="T23" s="16">
        <v>12490</v>
      </c>
      <c r="U23" s="11" t="str">
        <f t="shared" si="2"/>
        <v>119.9%</v>
      </c>
      <c r="V23" s="26" t="str">
        <f t="shared" si="3"/>
        <v>Over-leveraged</v>
      </c>
    </row>
    <row r="24" spans="2:22">
      <c r="O24" s="54">
        <v>111114</v>
      </c>
      <c r="P24" s="55" t="s">
        <v>34</v>
      </c>
      <c r="Q24" s="55" t="s">
        <v>35</v>
      </c>
      <c r="R24" s="55" t="s">
        <v>17</v>
      </c>
      <c r="S24" s="16">
        <v>10833</v>
      </c>
      <c r="T24" s="16">
        <v>12890</v>
      </c>
      <c r="U24" s="11" t="str">
        <f t="shared" si="2"/>
        <v>119%</v>
      </c>
      <c r="V24" s="26" t="str">
        <f t="shared" si="3"/>
        <v>Over-leveraged</v>
      </c>
    </row>
    <row r="25" spans="2:22">
      <c r="O25" s="54">
        <v>111120</v>
      </c>
      <c r="P25" s="55" t="s">
        <v>44</v>
      </c>
      <c r="Q25" s="55" t="s">
        <v>9</v>
      </c>
      <c r="R25" s="55" t="s">
        <v>10</v>
      </c>
      <c r="S25" s="16">
        <v>11667</v>
      </c>
      <c r="T25" s="16">
        <v>13870</v>
      </c>
      <c r="U25" s="11" t="str">
        <f t="shared" si="2"/>
        <v>118.9%</v>
      </c>
      <c r="V25" s="26" t="str">
        <f t="shared" si="3"/>
        <v>Over-leveraged</v>
      </c>
    </row>
    <row r="26" spans="2:22">
      <c r="O26" s="54">
        <v>111123</v>
      </c>
      <c r="P26" s="55" t="s">
        <v>49</v>
      </c>
      <c r="Q26" s="55" t="s">
        <v>50</v>
      </c>
      <c r="R26" s="55" t="s">
        <v>13</v>
      </c>
      <c r="S26" s="16">
        <v>9583</v>
      </c>
      <c r="T26" s="16">
        <v>11390</v>
      </c>
      <c r="U26" s="11" t="str">
        <f t="shared" si="2"/>
        <v>118.9%</v>
      </c>
      <c r="V26" s="26" t="str">
        <f t="shared" si="3"/>
        <v>Over-leveraged</v>
      </c>
    </row>
    <row r="27" spans="2:22">
      <c r="O27" s="54">
        <v>111149</v>
      </c>
      <c r="P27" s="55" t="s">
        <v>84</v>
      </c>
      <c r="Q27" s="55" t="s">
        <v>85</v>
      </c>
      <c r="R27" s="55" t="s">
        <v>13</v>
      </c>
      <c r="S27" s="16">
        <v>14833</v>
      </c>
      <c r="T27" s="16">
        <v>17510</v>
      </c>
      <c r="U27" s="11" t="str">
        <f t="shared" si="2"/>
        <v>118%</v>
      </c>
      <c r="V27" s="26" t="str">
        <f t="shared" si="3"/>
        <v>Over-leveraged</v>
      </c>
    </row>
    <row r="28" spans="2:22">
      <c r="O28" s="54">
        <v>111158</v>
      </c>
      <c r="P28" s="55" t="s">
        <v>95</v>
      </c>
      <c r="Q28" s="55" t="s">
        <v>96</v>
      </c>
      <c r="R28" s="55" t="s">
        <v>10</v>
      </c>
      <c r="S28" s="16">
        <v>9833</v>
      </c>
      <c r="T28" s="16">
        <v>11590</v>
      </c>
      <c r="U28" s="11" t="str">
        <f t="shared" si="2"/>
        <v>117.9%</v>
      </c>
      <c r="V28" s="26" t="str">
        <f t="shared" si="3"/>
        <v>Over-leveraged</v>
      </c>
    </row>
    <row r="29" spans="2:22">
      <c r="O29" s="54">
        <v>111157</v>
      </c>
      <c r="P29" s="55" t="s">
        <v>94</v>
      </c>
      <c r="Q29" s="55" t="s">
        <v>66</v>
      </c>
      <c r="R29" s="55" t="s">
        <v>13</v>
      </c>
      <c r="S29" s="16">
        <v>16000</v>
      </c>
      <c r="T29" s="16">
        <v>18820</v>
      </c>
      <c r="U29" s="11" t="str">
        <f t="shared" si="2"/>
        <v>117.6%</v>
      </c>
      <c r="V29" s="26" t="str">
        <f t="shared" si="3"/>
        <v>Over-leveraged</v>
      </c>
    </row>
    <row r="30" spans="2:22">
      <c r="O30" s="54">
        <v>111136</v>
      </c>
      <c r="P30" s="55" t="s">
        <v>70</v>
      </c>
      <c r="Q30" s="55" t="s">
        <v>23</v>
      </c>
      <c r="R30" s="55" t="s">
        <v>13</v>
      </c>
      <c r="S30" s="16">
        <v>16667</v>
      </c>
      <c r="T30" s="16">
        <v>19560</v>
      </c>
      <c r="U30" s="11" t="str">
        <f t="shared" si="2"/>
        <v>117.4%</v>
      </c>
      <c r="V30" s="26" t="str">
        <f t="shared" si="3"/>
        <v>Over-leveraged</v>
      </c>
    </row>
    <row r="31" spans="2:22">
      <c r="O31" s="54">
        <v>111151</v>
      </c>
      <c r="P31" s="55" t="s">
        <v>87</v>
      </c>
      <c r="Q31" s="55" t="s">
        <v>75</v>
      </c>
      <c r="R31" s="55" t="s">
        <v>17</v>
      </c>
      <c r="S31" s="16">
        <v>12333</v>
      </c>
      <c r="T31" s="16">
        <v>12680</v>
      </c>
      <c r="U31" s="11" t="str">
        <f t="shared" si="2"/>
        <v>102.8%</v>
      </c>
      <c r="V31" s="26" t="str">
        <f t="shared" si="3"/>
        <v>Over-leveraged</v>
      </c>
    </row>
    <row r="32" spans="2:22">
      <c r="O32" s="54">
        <v>111115</v>
      </c>
      <c r="P32" s="55" t="s">
        <v>36</v>
      </c>
      <c r="Q32" s="55" t="s">
        <v>37</v>
      </c>
      <c r="R32" s="55" t="s">
        <v>10</v>
      </c>
      <c r="S32" s="16">
        <v>22500</v>
      </c>
      <c r="T32" s="16">
        <v>22730</v>
      </c>
      <c r="U32" s="11" t="str">
        <f t="shared" si="2"/>
        <v>101%</v>
      </c>
      <c r="V32" s="26" t="str">
        <f t="shared" si="3"/>
        <v>Over-leveraged</v>
      </c>
    </row>
    <row r="33" spans="15:22">
      <c r="O33" s="54">
        <v>111118</v>
      </c>
      <c r="P33" s="55" t="s">
        <v>42</v>
      </c>
      <c r="Q33" s="55" t="s">
        <v>23</v>
      </c>
      <c r="R33" s="55" t="s">
        <v>10</v>
      </c>
      <c r="S33" s="16">
        <v>13333</v>
      </c>
      <c r="T33" s="16">
        <v>13320</v>
      </c>
      <c r="U33" s="11" t="str">
        <f t="shared" si="2"/>
        <v>99.9%</v>
      </c>
      <c r="V33" s="26" t="str">
        <f t="shared" si="3"/>
        <v>Stressed</v>
      </c>
    </row>
    <row r="34" spans="15:22">
      <c r="O34" s="54">
        <v>111132</v>
      </c>
      <c r="P34" s="55" t="s">
        <v>64</v>
      </c>
      <c r="Q34" s="55" t="s">
        <v>21</v>
      </c>
      <c r="R34" s="55" t="s">
        <v>10</v>
      </c>
      <c r="S34" s="16">
        <v>12083</v>
      </c>
      <c r="T34" s="16">
        <v>11880</v>
      </c>
      <c r="U34" s="11" t="str">
        <f t="shared" si="2"/>
        <v>98.3%</v>
      </c>
      <c r="V34" s="26" t="str">
        <f t="shared" si="3"/>
        <v>Stressed</v>
      </c>
    </row>
    <row r="35" spans="15:22">
      <c r="O35" s="54">
        <v>111128</v>
      </c>
      <c r="P35" s="55" t="s">
        <v>57</v>
      </c>
      <c r="Q35" s="55" t="s">
        <v>58</v>
      </c>
      <c r="R35" s="55" t="s">
        <v>10</v>
      </c>
      <c r="S35" s="16">
        <v>14167</v>
      </c>
      <c r="T35" s="16">
        <v>13920</v>
      </c>
      <c r="U35" s="11" t="str">
        <f t="shared" si="2"/>
        <v>98.3%</v>
      </c>
      <c r="V35" s="26" t="str">
        <f t="shared" si="3"/>
        <v>Stressed</v>
      </c>
    </row>
    <row r="36" spans="15:22">
      <c r="O36" s="54">
        <v>111133</v>
      </c>
      <c r="P36" s="55" t="s">
        <v>65</v>
      </c>
      <c r="Q36" s="55" t="s">
        <v>66</v>
      </c>
      <c r="R36" s="55" t="s">
        <v>10</v>
      </c>
      <c r="S36" s="16">
        <v>14583</v>
      </c>
      <c r="T36" s="16">
        <v>14250</v>
      </c>
      <c r="U36" s="11" t="str">
        <f t="shared" si="2"/>
        <v>97.7%</v>
      </c>
      <c r="V36" s="26" t="str">
        <f t="shared" si="3"/>
        <v>Stressed</v>
      </c>
    </row>
    <row r="37" spans="15:22">
      <c r="O37" s="54">
        <v>111154</v>
      </c>
      <c r="P37" s="55" t="s">
        <v>91</v>
      </c>
      <c r="Q37" s="55" t="s">
        <v>23</v>
      </c>
      <c r="R37" s="55" t="s">
        <v>10</v>
      </c>
      <c r="S37" s="16">
        <v>14000</v>
      </c>
      <c r="T37" s="16">
        <v>13650</v>
      </c>
      <c r="U37" s="11" t="str">
        <f t="shared" si="2"/>
        <v>97.5%</v>
      </c>
      <c r="V37" s="26" t="str">
        <f t="shared" si="3"/>
        <v>Stressed</v>
      </c>
    </row>
    <row r="38" spans="15:22">
      <c r="O38" s="54">
        <v>111139</v>
      </c>
      <c r="P38" s="55" t="s">
        <v>73</v>
      </c>
      <c r="Q38" s="55" t="s">
        <v>35</v>
      </c>
      <c r="R38" s="55" t="s">
        <v>10</v>
      </c>
      <c r="S38" s="16">
        <v>15417</v>
      </c>
      <c r="T38" s="16">
        <v>14960</v>
      </c>
      <c r="U38" s="11" t="str">
        <f t="shared" si="2"/>
        <v>97%</v>
      </c>
      <c r="V38" s="26" t="str">
        <f t="shared" si="3"/>
        <v>Stressed</v>
      </c>
    </row>
    <row r="39" spans="15:22">
      <c r="O39" s="54">
        <v>111144</v>
      </c>
      <c r="P39" s="55" t="s">
        <v>79</v>
      </c>
      <c r="Q39" s="55" t="s">
        <v>12</v>
      </c>
      <c r="R39" s="55" t="s">
        <v>10</v>
      </c>
      <c r="S39" s="16">
        <v>17917</v>
      </c>
      <c r="T39" s="16">
        <v>17170</v>
      </c>
      <c r="U39" s="11" t="str">
        <f t="shared" si="2"/>
        <v>95.8%</v>
      </c>
      <c r="V39" s="26" t="str">
        <f t="shared" si="3"/>
        <v>Stressed</v>
      </c>
    </row>
    <row r="40" spans="15:22">
      <c r="O40" s="54">
        <v>111124</v>
      </c>
      <c r="P40" s="55" t="s">
        <v>51</v>
      </c>
      <c r="Q40" s="55" t="s">
        <v>21</v>
      </c>
      <c r="R40" s="55" t="s">
        <v>10</v>
      </c>
      <c r="S40" s="16">
        <v>16250</v>
      </c>
      <c r="T40" s="16">
        <v>15280</v>
      </c>
      <c r="U40" s="11" t="str">
        <f t="shared" si="2"/>
        <v>94%</v>
      </c>
      <c r="V40" s="26" t="str">
        <f t="shared" si="3"/>
        <v>Stressed</v>
      </c>
    </row>
    <row r="41" spans="15:22">
      <c r="O41" s="54">
        <v>111142</v>
      </c>
      <c r="P41" s="55" t="s">
        <v>77</v>
      </c>
      <c r="Q41" s="55" t="s">
        <v>33</v>
      </c>
      <c r="R41" s="55" t="s">
        <v>17</v>
      </c>
      <c r="S41" s="16">
        <v>11250</v>
      </c>
      <c r="T41" s="16">
        <v>10310</v>
      </c>
      <c r="U41" s="11" t="str">
        <f t="shared" si="2"/>
        <v>91.6%</v>
      </c>
      <c r="V41" s="26" t="str">
        <f t="shared" si="3"/>
        <v>Stressed</v>
      </c>
    </row>
    <row r="42" spans="15:22">
      <c r="O42" s="54">
        <v>111160</v>
      </c>
      <c r="P42" s="55" t="s">
        <v>98</v>
      </c>
      <c r="Q42" s="55" t="s">
        <v>33</v>
      </c>
      <c r="R42" s="55" t="s">
        <v>10</v>
      </c>
      <c r="S42" s="16">
        <v>18750</v>
      </c>
      <c r="T42" s="16">
        <v>16010</v>
      </c>
      <c r="U42" s="11" t="str">
        <f t="shared" si="2"/>
        <v>85.4%</v>
      </c>
      <c r="V42" s="26" t="str">
        <f t="shared" si="3"/>
        <v>Stressed</v>
      </c>
    </row>
    <row r="43" spans="15:22">
      <c r="O43" s="54">
        <v>111147</v>
      </c>
      <c r="P43" s="55" t="s">
        <v>82</v>
      </c>
      <c r="Q43" s="55" t="s">
        <v>9</v>
      </c>
      <c r="R43" s="55" t="s">
        <v>10</v>
      </c>
      <c r="S43" s="16">
        <v>20000</v>
      </c>
      <c r="T43" s="16">
        <v>17060</v>
      </c>
      <c r="U43" s="11" t="str">
        <f t="shared" si="2"/>
        <v>85.3%</v>
      </c>
      <c r="V43" s="26" t="str">
        <f t="shared" si="3"/>
        <v>Stressed</v>
      </c>
    </row>
    <row r="44" spans="15:22">
      <c r="O44" s="54">
        <v>111103</v>
      </c>
      <c r="P44" s="55" t="s">
        <v>14</v>
      </c>
      <c r="Q44" s="55" t="s">
        <v>15</v>
      </c>
      <c r="R44" s="55" t="s">
        <v>10</v>
      </c>
      <c r="S44" s="16">
        <v>20833</v>
      </c>
      <c r="T44" s="16">
        <v>17740</v>
      </c>
      <c r="U44" s="11" t="str">
        <f t="shared" si="2"/>
        <v>85.2%</v>
      </c>
      <c r="V44" s="26" t="str">
        <f t="shared" si="3"/>
        <v>Stressed</v>
      </c>
    </row>
    <row r="45" spans="15:22">
      <c r="O45" s="54">
        <v>111122</v>
      </c>
      <c r="P45" s="55" t="s">
        <v>47</v>
      </c>
      <c r="Q45" s="55" t="s">
        <v>48</v>
      </c>
      <c r="R45" s="55" t="s">
        <v>10</v>
      </c>
      <c r="S45" s="16">
        <v>5417</v>
      </c>
      <c r="T45" s="16">
        <v>3870</v>
      </c>
      <c r="U45" s="11" t="str">
        <f t="shared" si="2"/>
        <v>71.4%</v>
      </c>
      <c r="V45" s="26" t="str">
        <f t="shared" si="3"/>
        <v>Stressed</v>
      </c>
    </row>
    <row r="46" spans="15:22">
      <c r="O46" s="54">
        <v>111135</v>
      </c>
      <c r="P46" s="55" t="s">
        <v>69</v>
      </c>
      <c r="Q46" s="55" t="s">
        <v>29</v>
      </c>
      <c r="R46" s="55" t="s">
        <v>10</v>
      </c>
      <c r="S46" s="16">
        <v>7500</v>
      </c>
      <c r="T46" s="16">
        <v>5130</v>
      </c>
      <c r="U46" s="11" t="str">
        <f t="shared" si="2"/>
        <v>68.4%</v>
      </c>
      <c r="V46" s="26" t="str">
        <f t="shared" si="3"/>
        <v>Stressed</v>
      </c>
    </row>
    <row r="47" spans="15:22">
      <c r="O47" s="54">
        <v>111148</v>
      </c>
      <c r="P47" s="55" t="s">
        <v>83</v>
      </c>
      <c r="Q47" s="55" t="s">
        <v>21</v>
      </c>
      <c r="R47" s="55" t="s">
        <v>10</v>
      </c>
      <c r="S47" s="16">
        <v>11000</v>
      </c>
      <c r="T47" s="16">
        <v>5850</v>
      </c>
      <c r="U47" s="11" t="str">
        <f t="shared" si="2"/>
        <v>53.2%</v>
      </c>
      <c r="V47" s="26" t="str">
        <f t="shared" si="3"/>
        <v>Healthy</v>
      </c>
    </row>
  </sheetData>
  <mergeCells count="3">
    <mergeCell ref="B5:M5"/>
    <mergeCell ref="O5:V5"/>
    <mergeCell ref="B2:V3"/>
  </mergeCells>
  <conditionalFormatting sqref="M7:M22">
    <cfRule type="cellIs" dxfId="7" priority="5" operator="equal">
      <formula>"CRITICAL"</formula>
    </cfRule>
    <cfRule type="cellIs" dxfId="6" priority="6" operator="equal">
      <formula>"HIGH Risk"</formula>
    </cfRule>
    <cfRule type="cellIs" dxfId="5" priority="7" operator="equal">
      <formula>"HIGH Risk"</formula>
    </cfRule>
    <cfRule type="cellIs" dxfId="4" priority="8" operator="equal">
      <formula>"Critical"</formula>
    </cfRule>
  </conditionalFormatting>
  <conditionalFormatting sqref="V7:V47">
    <cfRule type="cellIs" dxfId="3" priority="1" operator="equal">
      <formula>"Stressed"</formula>
    </cfRule>
    <cfRule type="cellIs" dxfId="2" priority="2" operator="equal">
      <formula>"Healthy"</formula>
    </cfRule>
    <cfRule type="cellIs" dxfId="1" priority="3" operator="equal">
      <formula>"Stressed"</formula>
    </cfRule>
    <cfRule type="cellIs" dxfId="0" priority="4" operator="equal">
      <formula>"Over-leveraged"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74369-FBA9-40BF-B22E-23E622096B5E}">
  <dimension ref="B2:G15"/>
  <sheetViews>
    <sheetView showGridLines="0" workbookViewId="0">
      <selection activeCell="N6" sqref="N6"/>
    </sheetView>
  </sheetViews>
  <sheetFormatPr defaultRowHeight="14.6"/>
  <cols>
    <col min="1" max="1" width="1.84375" customWidth="1"/>
    <col min="2" max="2" width="16" customWidth="1"/>
    <col min="4" max="4" width="14.15234375" customWidth="1"/>
  </cols>
  <sheetData>
    <row r="2" spans="2:7" ht="15.45">
      <c r="B2" s="106" t="s">
        <v>171</v>
      </c>
      <c r="C2" s="106"/>
      <c r="D2" s="106"/>
      <c r="E2" s="106"/>
    </row>
    <row r="3" spans="2:7">
      <c r="B3" s="56" t="s">
        <v>105</v>
      </c>
      <c r="C3" s="56" t="s">
        <v>147</v>
      </c>
      <c r="D3" s="56" t="s">
        <v>148</v>
      </c>
      <c r="E3" s="56" t="s">
        <v>170</v>
      </c>
    </row>
    <row r="4" spans="2:7">
      <c r="B4" s="20" t="s">
        <v>109</v>
      </c>
      <c r="C4" s="11">
        <f>COUNTIF(Loans!$H$4:$H$73,"Active")</f>
        <v>49</v>
      </c>
      <c r="D4" s="11">
        <f>ROUND(SUMIF(Loans!$H$4:$H$73,"Active",Loans!$E$4:$E$73)/1000000,2)</f>
        <v>78.73</v>
      </c>
      <c r="E4" s="11" t="str">
        <f>ROUND(D4/SUM($D$4:$D$6)*100,1)&amp;"%"</f>
        <v>86.1%</v>
      </c>
    </row>
    <row r="5" spans="2:7">
      <c r="B5" s="57" t="s">
        <v>115</v>
      </c>
      <c r="C5" s="11">
        <f>COUNTIF(Loans!$H$4:$H$73,"Closed")</f>
        <v>5</v>
      </c>
      <c r="D5" s="11">
        <f>ROUND(SUMIF(Loans!$H$4:$H$73,"Closed",Loans!$E$4:$E$73)/1000000,2)</f>
        <v>3.23</v>
      </c>
      <c r="E5" s="11" t="str">
        <f t="shared" ref="E5:E6" si="0">ROUND(D5/SUM($D$4:$D$6)*100,1)&amp;"%"</f>
        <v>3.5%</v>
      </c>
    </row>
    <row r="6" spans="2:7">
      <c r="B6" s="23" t="s">
        <v>112</v>
      </c>
      <c r="C6" s="11">
        <f>COUNTIF(Loans!$H$4:$H$73,"NPA")</f>
        <v>16</v>
      </c>
      <c r="D6" s="11">
        <f>ROUND(SUMIF(Loans!$H$4:$H$73,"NPA",Loans!$E$4:$E$73)/1000000,2)</f>
        <v>9.52</v>
      </c>
      <c r="E6" s="11" t="str">
        <f t="shared" si="0"/>
        <v>10.4%</v>
      </c>
    </row>
    <row r="9" spans="2:7" ht="15.45">
      <c r="B9" s="106" t="s">
        <v>172</v>
      </c>
      <c r="C9" s="106"/>
      <c r="D9" s="106"/>
      <c r="E9" s="106"/>
      <c r="F9" s="106"/>
      <c r="G9" s="106"/>
    </row>
    <row r="10" spans="2:7" ht="28.3">
      <c r="B10" s="56" t="s">
        <v>101</v>
      </c>
      <c r="C10" s="56" t="s">
        <v>147</v>
      </c>
      <c r="D10" s="56" t="s">
        <v>148</v>
      </c>
      <c r="E10" s="56" t="s">
        <v>173</v>
      </c>
      <c r="F10" s="56" t="s">
        <v>174</v>
      </c>
      <c r="G10" s="56" t="s">
        <v>133</v>
      </c>
    </row>
    <row r="11" spans="2:7">
      <c r="B11" s="58" t="s">
        <v>113</v>
      </c>
      <c r="C11" s="11">
        <f>COUNTIF(Loans!$D$4:$D$73,"Auto Loan")</f>
        <v>12</v>
      </c>
      <c r="D11" s="52">
        <f>ROUND(SUMIF(Loans!$D$4:$D$73,"Auto Loan",Loans!$E$4:$E$73)/1000000,2)</f>
        <v>8.0299999999999994</v>
      </c>
      <c r="E11" s="4">
        <f>ROUND(AVERAGEIF(Loans!$D$4:$D$73,"Auto Loan",Loans!$F$4:$F$73),2)</f>
        <v>11.09</v>
      </c>
      <c r="F11" s="11">
        <f>COUNTIFS(Loans!$D$4:$D$73,"Auto Loan",Loans!$H$4:$H$73,"NPA")</f>
        <v>1</v>
      </c>
      <c r="G11" s="11" t="str">
        <f>ROUND(F11/C11*100,1)&amp;"%"</f>
        <v>8.3%</v>
      </c>
    </row>
    <row r="12" spans="2:7">
      <c r="B12" s="59" t="s">
        <v>110</v>
      </c>
      <c r="C12" s="11">
        <f>COUNTIF(Loans!$D$4:$D$73,"Business Loan")</f>
        <v>16</v>
      </c>
      <c r="D12" s="11">
        <f>ROUND(SUMIF(Loans!$D$4:$D$73,"Business Loan",Loans!$E$4:$E$73)/1000000,2)</f>
        <v>26.25</v>
      </c>
      <c r="E12" s="4">
        <f>ROUND(AVERAGEIF(Loans!$D$4:$D$73,"Business Loan",Loans!$F$4:$F$73),2)</f>
        <v>9.2100000000000009</v>
      </c>
      <c r="F12" s="11">
        <f>COUNTIFS(Loans!$D$4:$D$73,"Business Loan",Loans!$H$4:$H$73,"NPA")</f>
        <v>3</v>
      </c>
      <c r="G12" s="11" t="str">
        <f t="shared" ref="G12:G15" si="1">ROUND(F12/C12*100,1)&amp;"%"</f>
        <v>18.8%</v>
      </c>
    </row>
    <row r="13" spans="2:7">
      <c r="B13" s="58" t="s">
        <v>114</v>
      </c>
      <c r="C13" s="11">
        <f>COUNTIF(Loans!$D$4:$D$73,"Education Loan")</f>
        <v>7</v>
      </c>
      <c r="D13" s="11">
        <f>ROUND(SUMIF(Loans!$D$4:$D$73,"Education Loan",Loans!$E$4:$E$73)/1000000,2)</f>
        <v>3.12</v>
      </c>
      <c r="E13" s="4">
        <f>ROUND(AVERAGEIF(Loans!$D$4:$D$73,"Education Loan",Loans!$F$4:$F$73),2)</f>
        <v>10.86</v>
      </c>
      <c r="F13" s="11">
        <f>COUNTIFS(Loans!$D$4:$D$73,"Education Loan",Loans!$H$4:$H$73,"NPA")</f>
        <v>1</v>
      </c>
      <c r="G13" s="11" t="str">
        <f t="shared" si="1"/>
        <v>14.3%</v>
      </c>
    </row>
    <row r="14" spans="2:7">
      <c r="B14" s="59" t="s">
        <v>108</v>
      </c>
      <c r="C14" s="11">
        <f>COUNTIF(Loans!$D$4:$D$73,"Home Loan")</f>
        <v>22</v>
      </c>
      <c r="D14" s="11">
        <f>ROUND(SUMIF(Loans!$D$4:$D$73,"Home Loan",Loans!$E$4:$E$73)/1000000,2)</f>
        <v>47.86</v>
      </c>
      <c r="E14" s="4">
        <f>ROUND(AVERAGEIF(Loans!$D$4:$D$73,"Home Loan",Loans!$F$4:$F$73),2)</f>
        <v>7.51</v>
      </c>
      <c r="F14" s="11">
        <f>COUNTIFS(Loans!$D$4:$D$73,"Home Loan",Loans!$H$4:$H$73,"NPA")</f>
        <v>0</v>
      </c>
      <c r="G14" s="11" t="str">
        <f t="shared" si="1"/>
        <v>0%</v>
      </c>
    </row>
    <row r="15" spans="2:7">
      <c r="B15" s="58" t="s">
        <v>111</v>
      </c>
      <c r="C15" s="11">
        <f>COUNTIF(Loans!$D$4:$D$73,"Personal Loan")</f>
        <v>13</v>
      </c>
      <c r="D15" s="11">
        <f>ROUND(SUMIF(Loans!$D$4:$D$73,"Personal Loan",Loans!$E$4:$E$73)/1000000,2)</f>
        <v>6.22</v>
      </c>
      <c r="E15" s="4">
        <f>ROUND(AVERAGEIF(Loans!$D$4:$D$73,"Personal Loan",Loans!$F$4:$F$73),2)</f>
        <v>13.71</v>
      </c>
      <c r="F15" s="11">
        <f>COUNTIFS(Loans!$D$4:$D$73,"Personal Loan",Loans!$H$4:$H$73,"NPA")</f>
        <v>11</v>
      </c>
      <c r="G15" s="11" t="str">
        <f t="shared" si="1"/>
        <v>84.6%</v>
      </c>
    </row>
  </sheetData>
  <mergeCells count="2">
    <mergeCell ref="B2:E2"/>
    <mergeCell ref="B9:G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E05B-E045-4486-9F8A-FD6E959DDA82}">
  <dimension ref="B2:Y16"/>
  <sheetViews>
    <sheetView showGridLines="0" tabSelected="1" workbookViewId="0">
      <selection activeCell="V21" sqref="V21"/>
    </sheetView>
  </sheetViews>
  <sheetFormatPr defaultRowHeight="14.6"/>
  <cols>
    <col min="1" max="1" width="1.23046875" customWidth="1"/>
    <col min="10" max="11" width="11.61328125" customWidth="1"/>
  </cols>
  <sheetData>
    <row r="2" spans="2:25" ht="14.6" customHeight="1">
      <c r="B2" s="67" t="s">
        <v>165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</row>
    <row r="3" spans="2:25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</row>
    <row r="4" spans="2:25"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</row>
    <row r="5" spans="2:25" ht="22.75"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</row>
    <row r="6" spans="2:25">
      <c r="B6" s="70"/>
      <c r="C6" s="70"/>
      <c r="D6" s="75"/>
      <c r="E6" s="75"/>
      <c r="F6" s="64"/>
      <c r="G6" s="64"/>
      <c r="H6" s="71"/>
      <c r="I6" s="71"/>
      <c r="J6" s="88"/>
      <c r="K6" s="88"/>
      <c r="L6" s="81"/>
      <c r="M6" s="81"/>
      <c r="N6" s="85"/>
      <c r="O6" s="85"/>
      <c r="P6" s="74"/>
      <c r="Q6" s="74"/>
      <c r="R6" s="79"/>
      <c r="S6" s="79"/>
    </row>
    <row r="7" spans="2:25">
      <c r="B7" s="68" t="s">
        <v>166</v>
      </c>
      <c r="C7" s="68"/>
      <c r="D7" s="76" t="s">
        <v>118</v>
      </c>
      <c r="E7" s="76"/>
      <c r="F7" s="65" t="s">
        <v>119</v>
      </c>
      <c r="G7" s="65"/>
      <c r="H7" s="71" t="s">
        <v>167</v>
      </c>
      <c r="I7" s="71"/>
      <c r="J7" s="88" t="s">
        <v>168</v>
      </c>
      <c r="K7" s="88"/>
      <c r="L7" s="82" t="s">
        <v>169</v>
      </c>
      <c r="M7" s="82"/>
      <c r="N7" s="86" t="s">
        <v>175</v>
      </c>
      <c r="O7" s="86"/>
      <c r="P7" s="74" t="s">
        <v>176</v>
      </c>
      <c r="Q7" s="74"/>
      <c r="R7" s="79" t="s">
        <v>177</v>
      </c>
      <c r="S7" s="79"/>
    </row>
    <row r="8" spans="2:25" ht="31.3" customHeight="1">
      <c r="B8" s="69">
        <f>'Portfolio Overview'!C5</f>
        <v>91.48</v>
      </c>
      <c r="C8" s="69"/>
      <c r="D8" s="77">
        <f>'Portfolio Overview'!C6</f>
        <v>70</v>
      </c>
      <c r="E8" s="77"/>
      <c r="F8" s="66">
        <f>'Portfolio Overview'!C7</f>
        <v>60</v>
      </c>
      <c r="G8" s="66"/>
      <c r="H8" s="72">
        <v>0.1</v>
      </c>
      <c r="I8" s="73"/>
      <c r="J8" s="89">
        <f>'Portfolio Overview'!C9</f>
        <v>1307</v>
      </c>
      <c r="K8" s="89"/>
      <c r="L8" s="83" t="str">
        <f>'NPA Summary'!C8</f>
        <v>10.41%</v>
      </c>
      <c r="M8" s="84"/>
      <c r="N8" s="87">
        <f>'Portfolio Status Distribution'!D4</f>
        <v>78.73</v>
      </c>
      <c r="O8" s="87"/>
      <c r="P8" s="90">
        <f>'Portfolio Status Distribution'!D5</f>
        <v>3.23</v>
      </c>
      <c r="Q8" s="90"/>
      <c r="R8" s="80">
        <f>'Portfolio Status Distribution'!D6</f>
        <v>9.52</v>
      </c>
      <c r="S8" s="80"/>
    </row>
    <row r="9" spans="2:25">
      <c r="B9" s="70"/>
      <c r="C9" s="70"/>
      <c r="D9" s="78"/>
      <c r="E9" s="78"/>
      <c r="F9" s="64"/>
      <c r="G9" s="64"/>
      <c r="H9" s="71"/>
      <c r="I9" s="71"/>
      <c r="J9" s="88"/>
      <c r="K9" s="88"/>
      <c r="L9" s="81"/>
      <c r="M9" s="81"/>
      <c r="N9" s="85"/>
      <c r="O9" s="85"/>
      <c r="P9" s="74"/>
      <c r="Q9" s="74"/>
      <c r="R9" s="79"/>
      <c r="S9" s="79"/>
    </row>
    <row r="16" spans="2:25" ht="20.6">
      <c r="C16" s="60"/>
    </row>
  </sheetData>
  <mergeCells count="37">
    <mergeCell ref="J8:K8"/>
    <mergeCell ref="J9:K9"/>
    <mergeCell ref="P7:Q7"/>
    <mergeCell ref="P8:Q8"/>
    <mergeCell ref="P9:Q9"/>
    <mergeCell ref="D9:E9"/>
    <mergeCell ref="R6:S6"/>
    <mergeCell ref="R7:S7"/>
    <mergeCell ref="R8:S8"/>
    <mergeCell ref="R9:S9"/>
    <mergeCell ref="H9:I9"/>
    <mergeCell ref="L6:M6"/>
    <mergeCell ref="L7:M7"/>
    <mergeCell ref="L8:M8"/>
    <mergeCell ref="L9:M9"/>
    <mergeCell ref="N6:O6"/>
    <mergeCell ref="N7:O7"/>
    <mergeCell ref="N8:O8"/>
    <mergeCell ref="N9:O9"/>
    <mergeCell ref="J6:K6"/>
    <mergeCell ref="J7:K7"/>
    <mergeCell ref="F6:G6"/>
    <mergeCell ref="F7:G7"/>
    <mergeCell ref="F8:G8"/>
    <mergeCell ref="F9:G9"/>
    <mergeCell ref="B2:Y4"/>
    <mergeCell ref="B7:C7"/>
    <mergeCell ref="B8:C8"/>
    <mergeCell ref="B6:C6"/>
    <mergeCell ref="H6:I6"/>
    <mergeCell ref="H7:I7"/>
    <mergeCell ref="H8:I8"/>
    <mergeCell ref="P6:Q6"/>
    <mergeCell ref="B9:C9"/>
    <mergeCell ref="D6:E6"/>
    <mergeCell ref="D7:E7"/>
    <mergeCell ref="D8:E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Customers</vt:lpstr>
      <vt:lpstr>Loans</vt:lpstr>
      <vt:lpstr>Portfolio Overview</vt:lpstr>
      <vt:lpstr>Portfolio Mix Loan Type</vt:lpstr>
      <vt:lpstr>NPA Rate by Loan Type</vt:lpstr>
      <vt:lpstr>NPA Summary</vt:lpstr>
      <vt:lpstr>Credit Score Band Analysis</vt:lpstr>
      <vt:lpstr> City-wise Exposure</vt:lpstr>
      <vt:lpstr>Credit Risk Analysis</vt:lpstr>
      <vt:lpstr>Portfolio Status Distribution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Chinmaya Shakti Prasad Das</dc:creator>
  <cp:lastModifiedBy>Chinmaya Shakti Prasad Das</cp:lastModifiedBy>
  <dcterms:created xsi:type="dcterms:W3CDTF">2026-03-10T04:24:11Z</dcterms:created>
  <dcterms:modified xsi:type="dcterms:W3CDTF">2026-03-11T04:14:43Z</dcterms:modified>
</cp:coreProperties>
</file>